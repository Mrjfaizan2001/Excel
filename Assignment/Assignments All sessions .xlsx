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d.docs.live.net/a267ac5c2670c80a/Desktop/"/>
    </mc:Choice>
  </mc:AlternateContent>
  <bookViews>
    <workbookView xWindow="0" yWindow="0" windowWidth="14380" windowHeight="4190" tabRatio="500" firstSheet="18" activeTab="21"/>
  </bookViews>
  <sheets>
    <sheet name="S1_Interface_DataTypes" sheetId="1" r:id="rId1"/>
    <sheet name="S2_NamedRanges_Validation" sheetId="2" r:id="rId2"/>
    <sheet name="S3_Sort_Filter" sheetId="3" r:id="rId3"/>
    <sheet name="S4_AdvFilter_Views" sheetId="4" r:id="rId4"/>
    <sheet name="S5_Text_Functions_1" sheetId="5" r:id="rId5"/>
    <sheet name="S6_Text_Cleaning" sheetId="6" r:id="rId6"/>
    <sheet name="S7_Date_Time" sheetId="7" r:id="rId7"/>
    <sheet name="S8_Logical" sheetId="8" r:id="rId8"/>
    <sheet name="S9_VLOOKUP_HLOOKUP" sheetId="9" r:id="rId9"/>
    <sheet name="S10_XLOOKUP" sheetId="10" r:id="rId10"/>
    <sheet name="S11_INDEX_MATCH" sheetId="11" r:id="rId11"/>
    <sheet name="S12_Conditional_Formatting" sheetId="12" r:id="rId12"/>
    <sheet name="S13_PivotTables_Basics" sheetId="13" r:id="rId13"/>
    <sheet name="S14_PivotTables_Advanced" sheetId="14" r:id="rId14"/>
    <sheet name="S15-16_PivotCharts_Dashboards" sheetId="15" r:id="rId15"/>
    <sheet name="S17_PowerQuery_Basics" sheetId="16" r:id="rId16"/>
    <sheet name="S18_PowerQuery_Merge_Append" sheetId="17" r:id="rId17"/>
    <sheet name="S19_Dashboard_Design" sheetId="18" r:id="rId18"/>
    <sheet name="S20_Superstore_CaseStudy" sheetId="19" r:id="rId19"/>
    <sheet name="S21_Integration_MiniDashboard" sheetId="20" r:id="rId20"/>
    <sheet name="S22_Macros_Recording" sheetId="21" r:id="rId21"/>
    <sheet name="S23_VBA_Basics" sheetId="22" r:id="rId22"/>
    <sheet name="S24_VBA_Automation_Project" sheetId="23" r:id="rId23"/>
  </sheets>
  <definedNames>
    <definedName name="_xlnm._FilterDatabase" localSheetId="2" hidden="1">S3_Sort_Filter!$A$36:$C$49</definedName>
    <definedName name="RecentMovies">OFFSET(S2_NamedRanges_Validation!$A$45,0,0,COUNTA(S2_NamedRanges_Validation!$A:$A)-44,1)</definedName>
    <definedName name="TopArtists">S2_NamedRanges_Validation!$A$27:$A$31</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18" i="20" l="1"/>
  <c r="A118" i="20"/>
  <c r="C99" i="20"/>
  <c r="B99" i="20"/>
  <c r="C98" i="20"/>
  <c r="B98" i="20"/>
  <c r="C97" i="20"/>
  <c r="B97" i="20"/>
  <c r="C96" i="20"/>
  <c r="B96" i="20"/>
  <c r="J78" i="20"/>
  <c r="I78" i="20"/>
  <c r="J77" i="20"/>
  <c r="I77" i="20"/>
  <c r="J76" i="20"/>
  <c r="I76" i="20"/>
  <c r="J75" i="20"/>
  <c r="I75" i="20"/>
  <c r="J74" i="20"/>
  <c r="I74" i="20"/>
  <c r="J73" i="20"/>
  <c r="I73" i="20"/>
  <c r="J72" i="20"/>
  <c r="I72" i="20"/>
  <c r="J71" i="20"/>
  <c r="I71" i="20"/>
  <c r="J70" i="20"/>
  <c r="I70" i="20"/>
  <c r="J69" i="20"/>
  <c r="I69" i="20"/>
  <c r="J68" i="20"/>
  <c r="I68" i="20"/>
  <c r="J67" i="20"/>
  <c r="I67" i="20"/>
  <c r="J66" i="20"/>
  <c r="I66" i="20"/>
  <c r="J65" i="20"/>
  <c r="I65" i="20"/>
  <c r="J64" i="20"/>
  <c r="I64" i="20"/>
  <c r="J63" i="20"/>
  <c r="I63" i="20"/>
  <c r="J62" i="20"/>
  <c r="I62" i="20"/>
  <c r="J61" i="20"/>
  <c r="I61" i="20"/>
  <c r="J60" i="20"/>
  <c r="I60" i="20"/>
  <c r="J59" i="20"/>
  <c r="I59" i="20"/>
  <c r="J58" i="20"/>
  <c r="I58" i="20"/>
  <c r="J57" i="20"/>
  <c r="I57" i="20"/>
  <c r="J56" i="20"/>
  <c r="I56" i="20"/>
  <c r="J55" i="20"/>
  <c r="I55" i="20"/>
  <c r="J54" i="20"/>
  <c r="I54" i="20"/>
  <c r="J53" i="20"/>
  <c r="I53" i="20"/>
  <c r="J52" i="20"/>
  <c r="I52" i="20"/>
  <c r="J51" i="20"/>
  <c r="I51" i="20"/>
  <c r="J50" i="20"/>
  <c r="I50" i="20"/>
  <c r="J49" i="20"/>
  <c r="I49" i="20"/>
  <c r="J48" i="20"/>
  <c r="I48" i="20"/>
  <c r="J47" i="20"/>
  <c r="I47" i="20"/>
  <c r="J46" i="20"/>
  <c r="I46" i="20"/>
  <c r="J45" i="20"/>
  <c r="I45" i="20"/>
  <c r="J44" i="20"/>
  <c r="I44" i="20"/>
  <c r="B95" i="19"/>
  <c r="B94" i="19"/>
  <c r="B93" i="19"/>
  <c r="B92" i="19"/>
  <c r="B91" i="19"/>
  <c r="B90" i="19"/>
  <c r="B89" i="19"/>
  <c r="B88" i="19"/>
  <c r="B87" i="19"/>
  <c r="B70" i="19"/>
  <c r="B69" i="19"/>
  <c r="B68" i="19"/>
  <c r="C65" i="19"/>
  <c r="A65" i="19"/>
  <c r="C56" i="19"/>
  <c r="B56" i="19"/>
  <c r="C55" i="19"/>
  <c r="B55" i="19"/>
  <c r="C54" i="19"/>
  <c r="B58" i="19" s="1"/>
  <c r="B54" i="19"/>
  <c r="C53" i="19"/>
  <c r="B53" i="19"/>
  <c r="G7" i="18"/>
  <c r="E7" i="18"/>
  <c r="C7" i="18"/>
  <c r="C54" i="15"/>
  <c r="B54" i="15"/>
  <c r="C53" i="15"/>
  <c r="B53" i="15"/>
  <c r="C52" i="15"/>
  <c r="B52" i="15"/>
  <c r="C51" i="15"/>
  <c r="B51" i="15"/>
  <c r="C50" i="15"/>
  <c r="B50" i="15"/>
  <c r="D100" i="14"/>
  <c r="C100" i="14"/>
  <c r="B100" i="14"/>
  <c r="C99" i="14"/>
  <c r="D99" i="14" s="1"/>
  <c r="B99" i="14"/>
  <c r="C98" i="14"/>
  <c r="B98" i="14"/>
  <c r="D98" i="14" s="1"/>
  <c r="C97" i="14"/>
  <c r="B97" i="14"/>
  <c r="D97" i="14" s="1"/>
  <c r="D96" i="14"/>
  <c r="C96" i="14"/>
  <c r="B96" i="14"/>
  <c r="C95" i="14"/>
  <c r="D95" i="14" s="1"/>
  <c r="B95" i="14"/>
  <c r="B90" i="14"/>
  <c r="B89" i="14"/>
  <c r="B88" i="14"/>
  <c r="B87" i="14"/>
  <c r="C82" i="14"/>
  <c r="C81" i="14"/>
  <c r="C80" i="14"/>
  <c r="C79" i="14"/>
  <c r="C78" i="14"/>
  <c r="C77" i="14"/>
  <c r="C76" i="14"/>
  <c r="C75" i="14"/>
  <c r="C74" i="14"/>
  <c r="C73" i="14"/>
  <c r="C72" i="14"/>
  <c r="C71" i="14"/>
  <c r="B91" i="13"/>
  <c r="B86" i="13"/>
  <c r="B85" i="13"/>
  <c r="B84" i="13"/>
  <c r="B83" i="13"/>
  <c r="B82" i="13"/>
  <c r="F78" i="13"/>
  <c r="E78" i="13"/>
  <c r="D78" i="13"/>
  <c r="C78" i="13"/>
  <c r="B78" i="13"/>
  <c r="F77" i="13"/>
  <c r="E77" i="13"/>
  <c r="D77" i="13"/>
  <c r="C77" i="13"/>
  <c r="B77" i="13"/>
  <c r="F76" i="13"/>
  <c r="E76" i="13"/>
  <c r="D76" i="13"/>
  <c r="C76" i="13"/>
  <c r="B76" i="13"/>
  <c r="F75" i="13"/>
  <c r="E75" i="13"/>
  <c r="D75" i="13"/>
  <c r="C75" i="13"/>
  <c r="B75" i="13"/>
  <c r="F74" i="13"/>
  <c r="E74" i="13"/>
  <c r="D74" i="13"/>
  <c r="C74" i="13"/>
  <c r="B74" i="13"/>
  <c r="F73" i="13"/>
  <c r="E73" i="13"/>
  <c r="D73" i="13"/>
  <c r="C73" i="13"/>
  <c r="B73" i="13"/>
  <c r="F72" i="13"/>
  <c r="E72" i="13"/>
  <c r="D72" i="13"/>
  <c r="C72" i="13"/>
  <c r="B72" i="13"/>
  <c r="F71" i="13"/>
  <c r="E71" i="13"/>
  <c r="D71" i="13"/>
  <c r="C71" i="13"/>
  <c r="B71" i="13"/>
  <c r="B66" i="13"/>
  <c r="B65" i="13"/>
  <c r="B64" i="13"/>
  <c r="B63" i="13"/>
  <c r="B62" i="13"/>
  <c r="B39" i="11"/>
  <c r="B30" i="11"/>
  <c r="B21" i="11"/>
  <c r="B12" i="11"/>
  <c r="B71" i="10"/>
  <c r="B58" i="10"/>
  <c r="B46" i="10"/>
  <c r="B34" i="10"/>
  <c r="B20" i="10"/>
  <c r="B46" i="9"/>
  <c r="B26" i="9"/>
  <c r="B18" i="9"/>
  <c r="B42" i="8"/>
  <c r="A42" i="8"/>
  <c r="C42" i="8" s="1"/>
  <c r="C41" i="8"/>
  <c r="B41" i="8"/>
  <c r="A41" i="8"/>
  <c r="B40" i="8"/>
  <c r="C40" i="8" s="1"/>
  <c r="A40" i="8"/>
  <c r="B39" i="8"/>
  <c r="A39" i="8"/>
  <c r="C39" i="8" s="1"/>
  <c r="C34" i="8"/>
  <c r="B34" i="8"/>
  <c r="D34" i="8" s="1"/>
  <c r="D33" i="8"/>
  <c r="C33" i="8"/>
  <c r="B33" i="8"/>
  <c r="C32" i="8"/>
  <c r="D32" i="8" s="1"/>
  <c r="B32" i="8"/>
  <c r="C31" i="8"/>
  <c r="B31" i="8"/>
  <c r="D31" i="8" s="1"/>
  <c r="C26" i="8"/>
  <c r="C25" i="8"/>
  <c r="C24" i="8"/>
  <c r="C23" i="8"/>
  <c r="C18" i="8"/>
  <c r="C17" i="8"/>
  <c r="C16" i="8"/>
  <c r="C15" i="8"/>
  <c r="C14" i="8"/>
  <c r="B9" i="8"/>
  <c r="B8" i="8"/>
  <c r="B7" i="8"/>
  <c r="B6" i="8"/>
  <c r="B5" i="8"/>
  <c r="B34" i="7"/>
  <c r="B35" i="7" s="1"/>
  <c r="C29" i="7"/>
  <c r="C28" i="7"/>
  <c r="C27" i="7"/>
  <c r="C26" i="7"/>
  <c r="B21" i="7"/>
  <c r="B20" i="7"/>
  <c r="B19" i="7"/>
  <c r="B18" i="7"/>
  <c r="B17" i="7"/>
  <c r="D12" i="7"/>
  <c r="C12" i="7"/>
  <c r="B12" i="7"/>
  <c r="D11" i="7"/>
  <c r="C11" i="7"/>
  <c r="B11" i="7"/>
  <c r="D10" i="7"/>
  <c r="C10" i="7"/>
  <c r="B10" i="7"/>
  <c r="D9" i="7"/>
  <c r="C9" i="7"/>
  <c r="B9" i="7"/>
  <c r="D8" i="7"/>
  <c r="C8" i="7"/>
  <c r="B8" i="7"/>
  <c r="B4" i="7"/>
  <c r="B3" i="7"/>
  <c r="C35" i="6"/>
  <c r="B35" i="6"/>
  <c r="C34" i="6"/>
  <c r="B34" i="6"/>
  <c r="C33" i="6"/>
  <c r="B33" i="6"/>
  <c r="B28" i="6"/>
  <c r="B27" i="6"/>
  <c r="B26" i="6"/>
  <c r="B21" i="6"/>
  <c r="B20" i="6"/>
  <c r="B19" i="6"/>
  <c r="B14" i="6"/>
  <c r="B13" i="6"/>
  <c r="B12" i="6"/>
  <c r="B7" i="6"/>
  <c r="B6" i="6"/>
  <c r="B5" i="6"/>
  <c r="B40" i="5"/>
  <c r="B39" i="5"/>
  <c r="B38" i="5"/>
  <c r="B37" i="5"/>
  <c r="B32" i="5"/>
  <c r="B31" i="5"/>
  <c r="B30" i="5"/>
  <c r="B29" i="5"/>
  <c r="B24" i="5"/>
  <c r="B23" i="5"/>
  <c r="B22" i="5"/>
  <c r="B17" i="5"/>
  <c r="B16" i="5"/>
  <c r="B15" i="5"/>
  <c r="B14" i="5"/>
  <c r="B9" i="5"/>
  <c r="B8" i="5"/>
  <c r="B7" i="5"/>
  <c r="B6" i="5"/>
  <c r="B5" i="5"/>
  <c r="D27" i="2"/>
  <c r="C23" i="2"/>
  <c r="C22" i="2"/>
  <c r="C21" i="2"/>
  <c r="C20" i="2"/>
  <c r="C19" i="2"/>
  <c r="C18" i="2"/>
  <c r="C11" i="2"/>
  <c r="C10" i="2"/>
  <c r="C9" i="2"/>
  <c r="C8" i="2"/>
  <c r="C7" i="2"/>
  <c r="E34" i="1"/>
  <c r="C34" i="1"/>
  <c r="E33" i="1"/>
  <c r="C33" i="1"/>
  <c r="E32" i="1"/>
  <c r="C32" i="1"/>
  <c r="D27" i="1"/>
  <c r="C27" i="1"/>
  <c r="D26" i="1"/>
  <c r="C26" i="1"/>
  <c r="D19" i="1"/>
</calcChain>
</file>

<file path=xl/sharedStrings.xml><?xml version="1.0" encoding="utf-8"?>
<sst xmlns="http://schemas.openxmlformats.org/spreadsheetml/2006/main" count="2426" uniqueCount="1028">
  <si>
    <t>Session 1 - Excel Interface, Layout &amp; Data Types</t>
  </si>
  <si>
    <t>Task 1: Ribbon tabs &amp; Quick Access Toolbar (reference table)</t>
  </si>
  <si>
    <t>Ribbon Tab</t>
  </si>
  <si>
    <t>Purpose</t>
  </si>
  <si>
    <t>Home</t>
  </si>
  <si>
    <t>Font/alignment/number formatting, styles, basic editing (Find &amp; Select)</t>
  </si>
  <si>
    <t>Insert</t>
  </si>
  <si>
    <t>Tables, PivotTables, Charts, Shapes, Sparklines, hyperlinks</t>
  </si>
  <si>
    <t>Data</t>
  </si>
  <si>
    <t>Sort &amp; Filter, Data Validation, Text to Columns, Power Query (Get Data), What-If Analysis</t>
  </si>
  <si>
    <t>Quick Access Toolbar tools used: Save, Undo/Redo</t>
  </si>
  <si>
    <t>Task 2: MyPlaylist.xlsx -&gt; 'Songs' worksheet sample</t>
  </si>
  <si>
    <t>Song</t>
  </si>
  <si>
    <t>Artist</t>
  </si>
  <si>
    <t>Duration (min:sec)</t>
  </si>
  <si>
    <t>Duration (sec)</t>
  </si>
  <si>
    <t>Release Date</t>
  </si>
  <si>
    <t>Shape of You</t>
  </si>
  <si>
    <t>Ed Sheeran</t>
  </si>
  <si>
    <t>3:53</t>
  </si>
  <si>
    <t>Blinding Lights</t>
  </si>
  <si>
    <t>The Weeknd</t>
  </si>
  <si>
    <t>3:20</t>
  </si>
  <si>
    <t>Kesariya</t>
  </si>
  <si>
    <t>Arijit Singh</t>
  </si>
  <si>
    <t>4:28</t>
  </si>
  <si>
    <t>Levitating</t>
  </si>
  <si>
    <t>Dua Lipa</t>
  </si>
  <si>
    <t>3:23</t>
  </si>
  <si>
    <t>Apna Bana Le</t>
  </si>
  <si>
    <t>3:59</t>
  </si>
  <si>
    <t>Total duration (A1 style)</t>
  </si>
  <si>
    <t>R1C1 style note: with R1C1 referencing enabled (Excel Options -&gt; Formulas -&gt; R1C1 reference style), the same formula for the cell above displays as =SUM(R[-5]C:R[-1]C) instead of =SUM(D6:D10). The stored formula logic is identical; only the on-screen notation changes.</t>
  </si>
  <si>
    <t>Task 4: GST calculator - absolute vs relative reference</t>
  </si>
  <si>
    <t>GST Rate</t>
  </si>
  <si>
    <t>Item</t>
  </si>
  <si>
    <t>Price</t>
  </si>
  <si>
    <t>GST (relative B1 - breaks if dragged)</t>
  </si>
  <si>
    <t>GST (absolute $B$1 - correct)</t>
  </si>
  <si>
    <t>Wireless Mouse</t>
  </si>
  <si>
    <t>Keyboard</t>
  </si>
  <si>
    <t>Notice column C gives the wrong (zero) result on row 2 because the relative reference shifts down with each row (it now points at the blank cell below the GST Rate instead of the rate itself). Column D stays correct on every row because $B$1 is locked with the dollar signs.</t>
  </si>
  <si>
    <t>Task 5: Fixing incorrect data types (raw order-history style dataset)</t>
  </si>
  <si>
    <t>Order ID</t>
  </si>
  <si>
    <t>Order Date (as TEXT - wrong)</t>
  </si>
  <si>
    <t>Order Date (fixed - DATE)</t>
  </si>
  <si>
    <t>Price (as TEXT - wrong)</t>
  </si>
  <si>
    <t>Price (fixed - NUMBER)</t>
  </si>
  <si>
    <t>Pincode (as NUMBER - wrong)</t>
  </si>
  <si>
    <t>Pincode (fixed - TEXT)</t>
  </si>
  <si>
    <t>ORD1001</t>
  </si>
  <si>
    <t>15-Jan-2024</t>
  </si>
  <si>
    <t>2499</t>
  </si>
  <si>
    <t>400001</t>
  </si>
  <si>
    <t>ORD1002</t>
  </si>
  <si>
    <t>22-Jan-2024</t>
  </si>
  <si>
    <t>899</t>
  </si>
  <si>
    <t>380015</t>
  </si>
  <si>
    <t>ORD1003</t>
  </si>
  <si>
    <t>03-Feb-2024</t>
  </si>
  <si>
    <t>15999</t>
  </si>
  <si>
    <t>110001</t>
  </si>
  <si>
    <t>Fix steps: (1) Date-as-text -&gt; DATEVALUE() or Data &gt; Text to Columns &gt; Date. (2) Price-as-text (leading apostrophe) -&gt; VALUE() or Text to Columns &gt; General. (3) Pincode stored as Number loses leading zeros -&gt; reformat as Text / prefix with an apostrophe.</t>
  </si>
  <si>
    <t>Session 2 - Cell Referencing, Named Ranges &amp; Data Entry Rules</t>
  </si>
  <si>
    <t>Task 1: Food delivery apps - rating % using ABSOLUTE reference to max rating</t>
  </si>
  <si>
    <t>Max Possible Rating</t>
  </si>
  <si>
    <t>App</t>
  </si>
  <si>
    <t>Avg Rating</t>
  </si>
  <si>
    <t>Rating % (absolute ref to $B$4)</t>
  </si>
  <si>
    <t>Zomato</t>
  </si>
  <si>
    <t>Swiggy</t>
  </si>
  <si>
    <t>Uber Eats</t>
  </si>
  <si>
    <t>Domino's</t>
  </si>
  <si>
    <t>Foodpanda</t>
  </si>
  <si>
    <t>Task 2: IPL teams - MIXED referencing (bonus factor locked, row free)</t>
  </si>
  <si>
    <t>Bonus Factor</t>
  </si>
  <si>
    <t>Team</t>
  </si>
  <si>
    <t>Total Wins</t>
  </si>
  <si>
    <t>Bonus Points (Wins * $B$'row' mixed ref)</t>
  </si>
  <si>
    <t>Mumbai Indians</t>
  </si>
  <si>
    <t>Chennai Super Kings</t>
  </si>
  <si>
    <t>Gujarat Titans</t>
  </si>
  <si>
    <t>Kolkata Knight Riders</t>
  </si>
  <si>
    <t>Rajasthan Royals</t>
  </si>
  <si>
    <t>Mumbai Rising Giants</t>
  </si>
  <si>
    <t>Mixed reference used: B$15 locks the ROW (so it always points at row 15, the Bonus Factor row) while the column letter stays relative, so dragging the formula down across teams still multiplies each team's own Wins by the single Bonus Factor cell.</t>
  </si>
  <si>
    <t>Task 3: Named range 'TopArtists' + COUNTA</t>
  </si>
  <si>
    <t>Count of TopArtists:</t>
  </si>
  <si>
    <t>Taylor Swift</t>
  </si>
  <si>
    <t>Task 4: Data Validation dropdown - Payment Method</t>
  </si>
  <si>
    <t>Transaction ID</t>
  </si>
  <si>
    <t>Payment Method</t>
  </si>
  <si>
    <t>TXN001</t>
  </si>
  <si>
    <t>TXN002</t>
  </si>
  <si>
    <t>TXN003</t>
  </si>
  <si>
    <t>TXN004</t>
  </si>
  <si>
    <t>TXN005</t>
  </si>
  <si>
    <t>Task 5: Dynamic named range 'RecentMovies' (OFFSET+COUNTA) + validation</t>
  </si>
  <si>
    <t>Movie Title</t>
  </si>
  <si>
    <t>Your Rating</t>
  </si>
  <si>
    <t>Pathaan</t>
  </si>
  <si>
    <t>Jawan</t>
  </si>
  <si>
    <t>Animal</t>
  </si>
  <si>
    <t>Kalki 2898 AD</t>
  </si>
  <si>
    <t>RecentMovies is defined as =OFFSET($A$45,0,0,COUNTA($A:$A)-44,1) so it automatically grows as new movie titles are typed below row 44 - the dropdown in column C always reflects the current list.</t>
  </si>
  <si>
    <t>Session 3 - Sorting, Basic &amp; Advanced Filtering</t>
  </si>
  <si>
    <t>Task 1-2: Sales dataset - sorted ascending by Sales, then multi-level Region&gt;Product&gt;Sales(desc)</t>
  </si>
  <si>
    <t>Region</t>
  </si>
  <si>
    <t>Product</t>
  </si>
  <si>
    <t>Sales</t>
  </si>
  <si>
    <t>North</t>
  </si>
  <si>
    <t>Pasta</t>
  </si>
  <si>
    <t>Burger</t>
  </si>
  <si>
    <t>East</t>
  </si>
  <si>
    <t>Pizza</t>
  </si>
  <si>
    <t>South</t>
  </si>
  <si>
    <t>West</t>
  </si>
  <si>
    <t>Multi-level sort: Region (A-Z) -&gt; Product (A-Z) -&gt; Sales (largest to smallest)</t>
  </si>
  <si>
    <t>Task 3: AutoFilter applied (Product = Pizza OR Burger) - AutoFilter arrows enabled on header row</t>
  </si>
  <si>
    <t>In Excel: click the dropdown arrow on 'Product' -&gt; untick 'Select All' -&gt; tick 'Pizza' and 'Burger' only.</t>
  </si>
  <si>
    <t>Task 4: Advanced Filter - Sales &gt; 8000 AND Region = West</t>
  </si>
  <si>
    <t>&gt;8000</t>
  </si>
  <si>
    <t>Criteria range sits above/left of the copy-to location as required by Excel's Advanced Filter dialog (Data tab &gt; Advanced): List range = original table, Criteria range = the 2-row block above, 'Copy to another location' = the result table below.</t>
  </si>
  <si>
    <t>Task 5: Removing blank rows (Data &gt; Go To Special &gt; Blanks &gt; Delete Row, or Filter+Delete)</t>
  </si>
  <si>
    <t>Amount</t>
  </si>
  <si>
    <t>ORD001</t>
  </si>
  <si>
    <t>ORD002</t>
  </si>
  <si>
    <t>ORD003</t>
  </si>
  <si>
    <t>ORD004</t>
  </si>
  <si>
    <t>Cleaned (blanks removed) - achieved via Home &gt; Find &amp; Select &gt; Go To Special &gt; Blanks &gt; Delete Entire Row</t>
  </si>
  <si>
    <t>Session 4 - Advanced Filtering &amp; Custom Views</t>
  </si>
  <si>
    <t>Task 1: Food delivery orders - Advanced Filter Amount&gt;800 AND City=Ahmedabad</t>
  </si>
  <si>
    <t>Restaurant Name</t>
  </si>
  <si>
    <t>City</t>
  </si>
  <si>
    <t>ORD1000</t>
  </si>
  <si>
    <t>Burger King</t>
  </si>
  <si>
    <t>Vadodara</t>
  </si>
  <si>
    <t>KFC</t>
  </si>
  <si>
    <t>Surat</t>
  </si>
  <si>
    <t>Ahmedabad</t>
  </si>
  <si>
    <t>Barbeque Nation</t>
  </si>
  <si>
    <t>ORD1004</t>
  </si>
  <si>
    <t>ORD1005</t>
  </si>
  <si>
    <t>ORD1006</t>
  </si>
  <si>
    <t>Rajkot</t>
  </si>
  <si>
    <t>ORD1007</t>
  </si>
  <si>
    <t>Subway</t>
  </si>
  <si>
    <t>ORD1008</t>
  </si>
  <si>
    <t>ORD1009</t>
  </si>
  <si>
    <t>Pizza Hut</t>
  </si>
  <si>
    <t>ORD1010</t>
  </si>
  <si>
    <t>ORD1011</t>
  </si>
  <si>
    <t>ORD1012</t>
  </si>
  <si>
    <t>ORD1013</t>
  </si>
  <si>
    <t>ORD1014</t>
  </si>
  <si>
    <t>&gt;800</t>
  </si>
  <si>
    <t>Task 2: Online shopping - Advanced Filter Payment=UPI OR Status=Delivered</t>
  </si>
  <si>
    <t>Order No</t>
  </si>
  <si>
    <t>Status</t>
  </si>
  <si>
    <t>TXN2000</t>
  </si>
  <si>
    <t>Bluetooth Earbuds</t>
  </si>
  <si>
    <t>Credit Card</t>
  </si>
  <si>
    <t>Processing</t>
  </si>
  <si>
    <t>TXN2001</t>
  </si>
  <si>
    <t>Delivered</t>
  </si>
  <si>
    <t>TXN2002</t>
  </si>
  <si>
    <t>Sunglasses</t>
  </si>
  <si>
    <t>COD</t>
  </si>
  <si>
    <t>TXN2003</t>
  </si>
  <si>
    <t>T-Shirt</t>
  </si>
  <si>
    <t>Debit Card</t>
  </si>
  <si>
    <t>Shipped</t>
  </si>
  <si>
    <t>TXN2004</t>
  </si>
  <si>
    <t>Backpack</t>
  </si>
  <si>
    <t>UPI</t>
  </si>
  <si>
    <t>TXN2005</t>
  </si>
  <si>
    <t>Sneakers</t>
  </si>
  <si>
    <t>Cancelled</t>
  </si>
  <si>
    <t>TXN2006</t>
  </si>
  <si>
    <t>TXN2007</t>
  </si>
  <si>
    <t>Phone Case</t>
  </si>
  <si>
    <t>TXN2008</t>
  </si>
  <si>
    <t>TXN2009</t>
  </si>
  <si>
    <t>Wrist Watch</t>
  </si>
  <si>
    <t>TXN2010</t>
  </si>
  <si>
    <t>Book</t>
  </si>
  <si>
    <t>TXN2011</t>
  </si>
  <si>
    <t>TXN2012</t>
  </si>
  <si>
    <t>TXN2013</t>
  </si>
  <si>
    <t>TXN2014</t>
  </si>
  <si>
    <t>TXN2015</t>
  </si>
  <si>
    <t>TXN2016</t>
  </si>
  <si>
    <t>TXN2017</t>
  </si>
  <si>
    <t>TXN2018</t>
  </si>
  <si>
    <t>TXN2019</t>
  </si>
  <si>
    <t>Criteria range (OR logic = separate rows, same columns)</t>
  </si>
  <si>
    <t>Task 3: Movie bookings - copy Total Amount&gt;1000 AND Region=West to new location</t>
  </si>
  <si>
    <t>Booking ID</t>
  </si>
  <si>
    <t>Movie Name</t>
  </si>
  <si>
    <t>Seats Booked</t>
  </si>
  <si>
    <t>Total Amount</t>
  </si>
  <si>
    <t>BK100</t>
  </si>
  <si>
    <t>Fighter</t>
  </si>
  <si>
    <t>BK101</t>
  </si>
  <si>
    <t>BK102</t>
  </si>
  <si>
    <t>12th Fail</t>
  </si>
  <si>
    <t>BK103</t>
  </si>
  <si>
    <t>BK104</t>
  </si>
  <si>
    <t>BK105</t>
  </si>
  <si>
    <t>BK106</t>
  </si>
  <si>
    <t>BK107</t>
  </si>
  <si>
    <t>BK108</t>
  </si>
  <si>
    <t>BK109</t>
  </si>
  <si>
    <t>BK110</t>
  </si>
  <si>
    <t>BK111</t>
  </si>
  <si>
    <t>Copied result (Total Amount&gt;1000 AND Region=West) - original table above is untouched</t>
  </si>
  <si>
    <t>Task 4: Instagram influencer campaigns - Custom Views (Engagement&gt;5% / Platform=YouTube)</t>
  </si>
  <si>
    <t>Campaign ID</t>
  </si>
  <si>
    <t>Influencer Name</t>
  </si>
  <si>
    <t>Followers</t>
  </si>
  <si>
    <t>Engagement Rate (%)</t>
  </si>
  <si>
    <t>Platform</t>
  </si>
  <si>
    <t>CMP1</t>
  </si>
  <si>
    <t>Influencer 1</t>
  </si>
  <si>
    <t>Instagram</t>
  </si>
  <si>
    <t>CMP2</t>
  </si>
  <si>
    <t>Influencer 2</t>
  </si>
  <si>
    <t>YouTube</t>
  </si>
  <si>
    <t>CMP3</t>
  </si>
  <si>
    <t>Influencer 3</t>
  </si>
  <si>
    <t>TikTok</t>
  </si>
  <si>
    <t>CMP4</t>
  </si>
  <si>
    <t>Influencer 4</t>
  </si>
  <si>
    <t>CMP5</t>
  </si>
  <si>
    <t>Influencer 5</t>
  </si>
  <si>
    <t>CMP6</t>
  </si>
  <si>
    <t>Influencer 6</t>
  </si>
  <si>
    <t>Facebook</t>
  </si>
  <si>
    <t>CMP7</t>
  </si>
  <si>
    <t>Influencer 7</t>
  </si>
  <si>
    <t>CMP8</t>
  </si>
  <si>
    <t>Influencer 8</t>
  </si>
  <si>
    <t>CMP9</t>
  </si>
  <si>
    <t>Influencer 9</t>
  </si>
  <si>
    <t>CMP10</t>
  </si>
  <si>
    <t>Influencer 10</t>
  </si>
  <si>
    <t>Custom Views setup: (1) Apply AutoFilter Engagement Rate &gt; 5 -&gt; View menu &gt; Custom Views &gt; Add -&gt; name it 'High Engagement'. (2) Change filter to Platform = YouTube -&gt; Custom Views &gt; Add -&gt; name it 'YouTube Only'. Switching between the two named views instantly re-applies each filter.</t>
  </si>
  <si>
    <t>Session 5 - Text Functions (LEFT, RIGHT, MID, LEN, TEXT, REPT)</t>
  </si>
  <si>
    <t>Task 1: LEFT - first 4 characters of product name</t>
  </si>
  <si>
    <t>Product Name</t>
  </si>
  <si>
    <t>LEFT(Name,4)</t>
  </si>
  <si>
    <t>iPhone-Apple</t>
  </si>
  <si>
    <t>Galaxy-Samsung</t>
  </si>
  <si>
    <t>Redmi-Xiaomi</t>
  </si>
  <si>
    <t>Pixel-Google</t>
  </si>
  <si>
    <t>OnePlus-OnePlus</t>
  </si>
  <si>
    <t>Task 2: RIGHT - last 2 characters (state code) of order ID</t>
  </si>
  <si>
    <t>RIGHT(ID,2) State Code</t>
  </si>
  <si>
    <t>ODR-2024-GJ</t>
  </si>
  <si>
    <t>ODR-2024-MH</t>
  </si>
  <si>
    <t>ODR-2024-DL</t>
  </si>
  <si>
    <t>ODR-2024-KA</t>
  </si>
  <si>
    <t>Task 3: MID + FIND - extract username before @ in an email</t>
  </si>
  <si>
    <t>Email</t>
  </si>
  <si>
    <t>Username = MID(A,1,FIND("@",A)-1)</t>
  </si>
  <si>
    <t>virat18@gmail.com</t>
  </si>
  <si>
    <t>rohit45sharma@gmail.com</t>
  </si>
  <si>
    <t>ms.dhoni7@yahoo.com</t>
  </si>
  <si>
    <t>Task 4: TEXT - format cricket scores as '156 runs'</t>
  </si>
  <si>
    <t>Score</t>
  </si>
  <si>
    <t>TEXT(A,"0")&amp;" runs"</t>
  </si>
  <si>
    <t>Task 5: REPT - repeat 'SALE' N times (no helper columns / VBA)</t>
  </si>
  <si>
    <t>Repeat Count</t>
  </si>
  <si>
    <t>REPT("SALE",A)</t>
  </si>
  <si>
    <t>Session 6 - Text Cleaning Functions (TRIM, CLEAN, SUBSTITUTE, PROPER)</t>
  </si>
  <si>
    <t>Task 1: TRIM - remove extra spaces from user names</t>
  </si>
  <si>
    <t>Raw Name (extra spaces)</t>
  </si>
  <si>
    <t>TRIM(A)</t>
  </si>
  <si>
    <t>Task 2: CLEAN - remove non-printable characters from group names</t>
  </si>
  <si>
    <t>Raw Group Name (with line break)</t>
  </si>
  <si>
    <t>CLEAN(A)</t>
  </si>
  <si>
    <t>Family Group
Chat</t>
  </si>
  <si>
    <t>Office
Updates</t>
  </si>
  <si>
    <t>College
Friends</t>
  </si>
  <si>
    <t>Task 3: SUBSTITUTE - underscores to spaces in song titles</t>
  </si>
  <si>
    <t>Song Title (underscores)</t>
  </si>
  <si>
    <t>SUBSTITUTE(A,"_"," ")</t>
  </si>
  <si>
    <t>Shape_of_You</t>
  </si>
  <si>
    <t>Blinding_Lights</t>
  </si>
  <si>
    <t>Kesariya_Reprise</t>
  </si>
  <si>
    <t>Task 4: Nested TRIM+CLEAN+PROPER - influencer names</t>
  </si>
  <si>
    <t>Raw Influencer Name</t>
  </si>
  <si>
    <t>PROPER(TRIM(CLEAN(A)))</t>
  </si>
  <si>
    <t>vIshAl PATEL</t>
  </si>
  <si>
    <t xml:space="preserve"> aNkuR SHAH </t>
  </si>
  <si>
    <t xml:space="preserve">  meHul  vora</t>
  </si>
  <si>
    <t>Task 5: Flipkart product names - UPPER / LOWER / PROPER side by side</t>
  </si>
  <si>
    <t>Original (UPPER)</t>
  </si>
  <si>
    <t>LOWER(A)</t>
  </si>
  <si>
    <t>PROPER(A)</t>
  </si>
  <si>
    <t>WIRELESS BLUETOOTH HEADPHONES</t>
  </si>
  <si>
    <t>STAINLESS STEEL WATER BOTTLE</t>
  </si>
  <si>
    <t>COTTON CASUAL SHIRT</t>
  </si>
  <si>
    <t>Session 7 - Date &amp; Time Functions</t>
  </si>
  <si>
    <t>TODAY()</t>
  </si>
  <si>
    <t>NOW()</t>
  </si>
  <si>
    <t>Task 2: YEAR / MONTH / DAY of friends' birthdays</t>
  </si>
  <si>
    <t>Birthday</t>
  </si>
  <si>
    <t>YEAR</t>
  </si>
  <si>
    <t>MONTH</t>
  </si>
  <si>
    <t>DAY</t>
  </si>
  <si>
    <t>Task 3: NETWORKDAYS - working days between match date and TODAY()</t>
  </si>
  <si>
    <t>Match Date</t>
  </si>
  <si>
    <t>NETWORKDAYS(Match,TODAY)</t>
  </si>
  <si>
    <t>Task 4: DATEDIF - days taken for Flipkart delivery</t>
  </si>
  <si>
    <t>Order Date</t>
  </si>
  <si>
    <t>Delivery Date</t>
  </si>
  <si>
    <t>Days Taken = DATEDIF(od,dd,"d")</t>
  </si>
  <si>
    <t>Task 5: EOMONTH + DATEDIF('m') - months since Spotify signup</t>
  </si>
  <si>
    <t>Spotify Signup Date</t>
  </si>
  <si>
    <t>Last day of current month = EOMONTH(TODAY(),0)</t>
  </si>
  <si>
    <t>Months since signup = DATEDIF(signup, EOMONTH, "m")</t>
  </si>
  <si>
    <t>Session 8 - Logical Functions (IF, Nested IF, AND, OR, XOR)</t>
  </si>
  <si>
    <t>Task 1: IF - High Value (&gt;=500) vs Regular</t>
  </si>
  <si>
    <t>Order Amount</t>
  </si>
  <si>
    <t>IF(A&gt;=500,"High Value","Regular")</t>
  </si>
  <si>
    <t>Task 2: Nested IF - player rating by total runs</t>
  </si>
  <si>
    <t>Player</t>
  </si>
  <si>
    <t>Total Runs</t>
  </si>
  <si>
    <t>Rating (nested IF)</t>
  </si>
  <si>
    <t>V. Kohli</t>
  </si>
  <si>
    <t>R. Sharma</t>
  </si>
  <si>
    <t>S. Iyer</t>
  </si>
  <si>
    <t>Y. Jaiswal</t>
  </si>
  <si>
    <t>H. Pandya</t>
  </si>
  <si>
    <t>Task 3: AND + IF - Eligible (Prepaid AND Delivered)</t>
  </si>
  <si>
    <t>Order Status</t>
  </si>
  <si>
    <t>Eligible? (AND+IF)</t>
  </si>
  <si>
    <t>Prepaid</t>
  </si>
  <si>
    <t>Task 4: OR + IF - Quick Access (Downloaded OR Favorite)</t>
  </si>
  <si>
    <t>Is Downloaded</t>
  </si>
  <si>
    <t>Is Favorite</t>
  </si>
  <si>
    <t>Access (OR+IF)</t>
  </si>
  <si>
    <t>Agar Tum Saath Ho</t>
  </si>
  <si>
    <t>Tum Hi Ho</t>
  </si>
  <si>
    <t>Raataan Lambiyan</t>
  </si>
  <si>
    <t>Task 5: XOR + IF - Suspicious (exactly one of: new address, cash payment)</t>
  </si>
  <si>
    <t>New Address?</t>
  </si>
  <si>
    <t>Cash Payment?</t>
  </si>
  <si>
    <t>Flag (XOR+IF)</t>
  </si>
  <si>
    <t>Session 9 - Lookup Functions (VLOOKUP, HLOOKUP)</t>
  </si>
  <si>
    <t>Task 1: VLOOKUP - product price lookup</t>
  </si>
  <si>
    <t>Wireless Earbuds</t>
  </si>
  <si>
    <t>Smart Watch</t>
  </si>
  <si>
    <t>Laptop Bag</t>
  </si>
  <si>
    <t>Bluetooth Speaker</t>
  </si>
  <si>
    <t>Phone Cover</t>
  </si>
  <si>
    <t>Power Bank</t>
  </si>
  <si>
    <t>Gaming Mouse</t>
  </si>
  <si>
    <t>USB-C Cable</t>
  </si>
  <si>
    <t>Study Lamp</t>
  </si>
  <si>
    <t>Air Fryer</t>
  </si>
  <si>
    <t>Search Product:</t>
  </si>
  <si>
    <t>Price (VLOOKUP exact match):</t>
  </si>
  <si>
    <t>Task 2: HLOOKUP - Zomato-style dish ratings (horizontal)</t>
  </si>
  <si>
    <t>Paneer Tikka</t>
  </si>
  <si>
    <t>Butter Chicken</t>
  </si>
  <si>
    <t>Veg Biryani</t>
  </si>
  <si>
    <t>Chicken Momos</t>
  </si>
  <si>
    <t>Masala Dosa</t>
  </si>
  <si>
    <t>Pav Bhaji</t>
  </si>
  <si>
    <t>Chole Bhature</t>
  </si>
  <si>
    <t>Hakka Noodles</t>
  </si>
  <si>
    <t>Search Dish:</t>
  </si>
  <si>
    <t>Rating (HLOOKUP):</t>
  </si>
  <si>
    <t>Task 3: VLOOKUP approximate match (TRUE) - risk of wrong results</t>
  </si>
  <si>
    <t>Username</t>
  </si>
  <si>
    <t>Mobile Number</t>
  </si>
  <si>
    <t>Aarav Shah</t>
  </si>
  <si>
    <t>9876500001</t>
  </si>
  <si>
    <t>Diya Mehta</t>
  </si>
  <si>
    <t>9876500002</t>
  </si>
  <si>
    <t>Kabir Patel</t>
  </si>
  <si>
    <t>9876500003</t>
  </si>
  <si>
    <t>Myra Joshi</t>
  </si>
  <si>
    <t>9876500004</t>
  </si>
  <si>
    <t>Vihaan Desai</t>
  </si>
  <si>
    <t>9876500005</t>
  </si>
  <si>
    <t>Anaya Trivedi</t>
  </si>
  <si>
    <t>9876500006</t>
  </si>
  <si>
    <t>Reyansh Rao</t>
  </si>
  <si>
    <t>9876500007</t>
  </si>
  <si>
    <t>Saanvi Iyer</t>
  </si>
  <si>
    <t>9876500008</t>
  </si>
  <si>
    <t>Arjun Nair</t>
  </si>
  <si>
    <t>9876500009</t>
  </si>
  <si>
    <t>Ira Kapoor</t>
  </si>
  <si>
    <t>9876500010</t>
  </si>
  <si>
    <t>Yuvraj Singh</t>
  </si>
  <si>
    <t>9876500011</t>
  </si>
  <si>
    <t>Zara Khan</t>
  </si>
  <si>
    <t>9876500012</t>
  </si>
  <si>
    <t>Search (misspelled) 'Kabeer Patel':</t>
  </si>
  <si>
    <t>Approx match result:</t>
  </si>
  <si>
    <t>With range_lookup=TRUE, VLOOKUP requires the lookup column sorted ascending and returns the closest match less than or equal to the search value - NOT an exact/fuzzy text match. Since names aren't numeric/sorted the same way, this can silently return a completely wrong row instead of an error. Always use FALSE for text lookups.</t>
  </si>
  <si>
    <t>Task 4: VLOOKUP limitation - lookup column must be leftmost</t>
  </si>
  <si>
    <t>Discount</t>
  </si>
  <si>
    <t>10%</t>
  </si>
  <si>
    <t>5%</t>
  </si>
  <si>
    <t>15%</t>
  </si>
  <si>
    <t>VLOOKUP("Smart Watch", A:C, 3, FALSE) fails here with an N-slash-A error because 'Product Name' (the lookup value) is no longer the leftmost column - it's now column B while Discount is A. VLOOKUP can only look to the RIGHT of its first column. This is exactly the limitation Session 10-11 solve with XLOOKUP / INDEX-MATCH.</t>
  </si>
  <si>
    <t>Session 10 - Modern Lookup Functions (XLOOKUP)</t>
  </si>
  <si>
    <t>Compatibility note: this file is validated with LibreOffice's recalculation engine, which cannot evaluate XLOOKUP reliably (it is treated as an array/spill formula and only the first cell fills in). Every task below therefore shows the INDEX/MATCH formula that computes the identical result, PLUS the exact XLOOKUP syntax as text so you can paste it directly into real Excel (2021/365), where XLOOKUP works natively.</t>
  </si>
  <si>
    <t>Task 1: Find product name by Product ID</t>
  </si>
  <si>
    <t>Product ID</t>
  </si>
  <si>
    <t>Category</t>
  </si>
  <si>
    <t>P100</t>
  </si>
  <si>
    <t>Electronics</t>
  </si>
  <si>
    <t>P101</t>
  </si>
  <si>
    <t>P102</t>
  </si>
  <si>
    <t>Accessories</t>
  </si>
  <si>
    <t>P103</t>
  </si>
  <si>
    <t>P104</t>
  </si>
  <si>
    <t>P105</t>
  </si>
  <si>
    <t>P106</t>
  </si>
  <si>
    <t>P107</t>
  </si>
  <si>
    <t>P108</t>
  </si>
  <si>
    <t>P109</t>
  </si>
  <si>
    <t>Search ID:</t>
  </si>
  <si>
    <t>Name (INDEX/MATCH):</t>
  </si>
  <si>
    <t>Equivalent XLOOKUP syntax (Excel 365):</t>
  </si>
  <si>
    <t>XLOOKUP(B19,A7:A17,B7:B17)  &lt;- reference only, not a live formula</t>
  </si>
  <si>
    <t>Task 2: Last order amount for a restaurant (search from bottom)</t>
  </si>
  <si>
    <t>O1</t>
  </si>
  <si>
    <t>O2</t>
  </si>
  <si>
    <t>O3</t>
  </si>
  <si>
    <t>O4</t>
  </si>
  <si>
    <t>O5</t>
  </si>
  <si>
    <t>Restaurant:</t>
  </si>
  <si>
    <t>Last order amount (search bottom-up, non-array LOOKUP trick):</t>
  </si>
  <si>
    <t>Equivalent XLOOKUP (search_mode=-1, bottom to top):</t>
  </si>
  <si>
    <t>XLOOKUP(B33,B26:B31,D26:D31,,0,-1)  &lt;- reference only, not a live formula</t>
  </si>
  <si>
    <t>Task 3: Playlist genre search with default 'No playlist available'</t>
  </si>
  <si>
    <t>Playlist Name</t>
  </si>
  <si>
    <t>Genre</t>
  </si>
  <si>
    <t>Created By</t>
  </si>
  <si>
    <t>Number of Songs</t>
  </si>
  <si>
    <t>Chill Vibes</t>
  </si>
  <si>
    <t>Lo-fi</t>
  </si>
  <si>
    <t>User1</t>
  </si>
  <si>
    <t>Workout Mix</t>
  </si>
  <si>
    <t>EDM</t>
  </si>
  <si>
    <t>User2</t>
  </si>
  <si>
    <t>Bollywood Hits</t>
  </si>
  <si>
    <t>Bollywood</t>
  </si>
  <si>
    <t>User3</t>
  </si>
  <si>
    <t>Search Genre:</t>
  </si>
  <si>
    <t>Jazz</t>
  </si>
  <si>
    <t>Result (IFERROR default):</t>
  </si>
  <si>
    <t>Equivalent XLOOKUP (built-in if_not_found arg):</t>
  </si>
  <si>
    <t>XLOOKUP(B45,B40:B43,A40:A43,"No playlist available")  &lt;- reference only, not a live formula</t>
  </si>
  <si>
    <t>Task 4: IRCTC booking status with custom error message</t>
  </si>
  <si>
    <t>Passenger Name</t>
  </si>
  <si>
    <t>Train Number</t>
  </si>
  <si>
    <t>BK1</t>
  </si>
  <si>
    <t>Rahul Verma</t>
  </si>
  <si>
    <t>12951</t>
  </si>
  <si>
    <t>Confirmed</t>
  </si>
  <si>
    <t>BK2</t>
  </si>
  <si>
    <t>Sneha Rao</t>
  </si>
  <si>
    <t>12952</t>
  </si>
  <si>
    <t>Waitlisted</t>
  </si>
  <si>
    <t>BK3</t>
  </si>
  <si>
    <t>Aman Gupta</t>
  </si>
  <si>
    <t>12953</t>
  </si>
  <si>
    <t>Search (wrong) Booking ID:</t>
  </si>
  <si>
    <t>BK9</t>
  </si>
  <si>
    <t>Status (custom error):</t>
  </si>
  <si>
    <t>Equivalent XLOOKUP:</t>
  </si>
  <si>
    <t>XLOOKUP(B57,A52:A55,D52:D55,"Booking Not Found")  &lt;- reference only, not a live formula</t>
  </si>
  <si>
    <t>Task 5: Myntra delivery date by Order ID (ChatGPT-generated XLOOKUP)</t>
  </si>
  <si>
    <t>MY1</t>
  </si>
  <si>
    <t>MY2</t>
  </si>
  <si>
    <t>MY3</t>
  </si>
  <si>
    <t>Prompt used: "Write an XLOOKUP formula to find the delivery date for an order by Order ID in Excel."</t>
  </si>
  <si>
    <t>ChatGPT-style XLOOKUP answer:</t>
  </si>
  <si>
    <t>XLOOKUP("MY2",A64:A67,B64:B67)  &lt;- reference only, not a live formula</t>
  </si>
  <si>
    <t>Working equivalent in this file (INDEX/MATCH):</t>
  </si>
  <si>
    <t>Session 11 - Advanced Lookup: INDEX-MATCH (two-way lookup)</t>
  </si>
  <si>
    <t>Task 1: IPL score by Team (rows) and Match Date (columns)</t>
  </si>
  <si>
    <t>Team:</t>
  </si>
  <si>
    <t>Match Date:</t>
  </si>
  <si>
    <t>Score (INDEX+MATCH+MATCH):</t>
  </si>
  <si>
    <t>Task 2: Flipkart price by Product (rows) x City (columns)</t>
  </si>
  <si>
    <t>Mumbai</t>
  </si>
  <si>
    <t>Delhi</t>
  </si>
  <si>
    <t>iPhone 15</t>
  </si>
  <si>
    <t>Galaxy S24</t>
  </si>
  <si>
    <t>Redmi Note 13</t>
  </si>
  <si>
    <t>Price of iPhone 15 in Ahmedabad:</t>
  </si>
  <si>
    <t>Task 3: Spotify play count - Song (rows) x Month (columns)</t>
  </si>
  <si>
    <t>January</t>
  </si>
  <si>
    <t>February</t>
  </si>
  <si>
    <t>March</t>
  </si>
  <si>
    <t>Kesariya plays in March:</t>
  </si>
  <si>
    <t>Task 4: Zomato sales - Restaurant (rows) x Weekday (columns), robust to column reorder</t>
  </si>
  <si>
    <t>Restaurant</t>
  </si>
  <si>
    <t>Monday</t>
  </si>
  <si>
    <t>Friday</t>
  </si>
  <si>
    <t>Sunday</t>
  </si>
  <si>
    <t>Burger Hub</t>
  </si>
  <si>
    <t>Pizza Point</t>
  </si>
  <si>
    <t>Wrap Zone</t>
  </si>
  <si>
    <t>Burger Hub sales on Friday (INDEX/MATCH - unaffected by column order):</t>
  </si>
  <si>
    <t>Unlike VLOOKUP (which breaks if columns are reordered because it counts columns by position), MATCH finds 'Friday' by its header TEXT wherever it sits, so this formula keeps working even if the weekday columns are rearranged.</t>
  </si>
  <si>
    <t>Session 12 - Conditional Formatting</t>
  </si>
  <si>
    <t>Task 1: Highlight duplicate song names in yellow</t>
  </si>
  <si>
    <t>Song Name</t>
  </si>
  <si>
    <t>Chaiyya Chaiyya</t>
  </si>
  <si>
    <t>Kal Ho Naa Ho</t>
  </si>
  <si>
    <t>Zara Zara</t>
  </si>
  <si>
    <t>Ilahi</t>
  </si>
  <si>
    <t>Tera Ban Jaunga</t>
  </si>
  <si>
    <t>Channa Mereya</t>
  </si>
  <si>
    <t>Malang</t>
  </si>
  <si>
    <t>Enna Sona</t>
  </si>
  <si>
    <t>Ae Dil Hai Mushkil</t>
  </si>
  <si>
    <t>Bekhayali</t>
  </si>
  <si>
    <t>Task 2: Color Scale on Flipkart product prices</t>
  </si>
  <si>
    <t>Product Price</t>
  </si>
  <si>
    <t>Task 3: Icon Sets (traffic lights) on Zomato order ratings</t>
  </si>
  <si>
    <t>Order Rating (1-5)</t>
  </si>
  <si>
    <t>Custom thresholds: green &gt;=4, yellow =3, red &lt;3 (icon set boundaries set to 0 / 3 / 4).</t>
  </si>
  <si>
    <t>Task 4: Highlight top 3 / bottom 3 IPL run-scorers</t>
  </si>
  <si>
    <t>K. Rahul</t>
  </si>
  <si>
    <t>S. Samson</t>
  </si>
  <si>
    <t>R. Gaikwad</t>
  </si>
  <si>
    <t>F. du Plessis</t>
  </si>
  <si>
    <t>Shubman Gill</t>
  </si>
  <si>
    <t>A. Rahane</t>
  </si>
  <si>
    <t>D. Padikkal</t>
  </si>
  <si>
    <t>Task 5: Expenses vs Target - green if under target, red if over (apps: Swiggy/Myntra/Paytm)</t>
  </si>
  <si>
    <t>Monthly Expense</t>
  </si>
  <si>
    <t>Target</t>
  </si>
  <si>
    <t>Myntra</t>
  </si>
  <si>
    <t>Paytm</t>
  </si>
  <si>
    <t>Amazon</t>
  </si>
  <si>
    <t>Session 13 - Pivot Tables (Part 1: Basics)</t>
  </si>
  <si>
    <t>Note on Pivot Tables: true interactive Excel PivotTables are built inside Excel itself from a live cache and can't be authored reliably by an external script. This sheet gives you the clean source data plus the exact click-path, AND a formula-driven summary table (SUMIFS/COUNTIFS) that reproduces the same numbers so you can check your own PivotTable against it.</t>
  </si>
  <si>
    <t>Delivery Partner</t>
  </si>
  <si>
    <t>ORD3000</t>
  </si>
  <si>
    <t>McDonald's</t>
  </si>
  <si>
    <t>Farhan S.</t>
  </si>
  <si>
    <t>ORD3001</t>
  </si>
  <si>
    <t>Divya R.</t>
  </si>
  <si>
    <t>ORD3002</t>
  </si>
  <si>
    <t>Ravi K.</t>
  </si>
  <si>
    <t>ORD3003</t>
  </si>
  <si>
    <t>ORD3004</t>
  </si>
  <si>
    <t>Sunita P.</t>
  </si>
  <si>
    <t>ORD3005</t>
  </si>
  <si>
    <t>ORD3006</t>
  </si>
  <si>
    <t>ORD3007</t>
  </si>
  <si>
    <t>ORD3008</t>
  </si>
  <si>
    <t>ORD3009</t>
  </si>
  <si>
    <t>Aman J.</t>
  </si>
  <si>
    <t>ORD3010</t>
  </si>
  <si>
    <t>ORD3011</t>
  </si>
  <si>
    <t>ORD3012</t>
  </si>
  <si>
    <t>ORD3013</t>
  </si>
  <si>
    <t>ORD3014</t>
  </si>
  <si>
    <t>ORD3015</t>
  </si>
  <si>
    <t>ORD3016</t>
  </si>
  <si>
    <t>ORD3017</t>
  </si>
  <si>
    <t>Haldiram's</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</si>
  <si>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</si>
  <si>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</si>
  <si>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</si>
  <si>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</si>
  <si>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</si>
  <si>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</si>
  <si>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</si>
  <si>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</si>
  <si>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</si>
  <si>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</si>
  <si>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</si>
  <si>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</si>
  <si>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</si>
  <si>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</si>
  <si>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</si>
  <si>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</si>
  <si>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</si>
  <si>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</si>
  <si>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</si>
  <si>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</si>
  <si>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</si>
  <si>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</si>
  <si>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</si>
  <si>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</si>
  <si>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</si>
  <si>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</si>
  <si>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</si>
  <si>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</si>
  <si>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</si>
  <si>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</si>
  <si>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</si>
  <si>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</si>
  <si>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Click-path: select the table -&gt; Insert &gt; PivotTable -&gt; New Worksheet -&gt; drag 'City' to Rows, 'Amount' to Values (Sum)</t>
  </si>
  <si>
    <t>Formula-equivalent summary: SUM of Amount by City</t>
  </si>
  <si>
    <t>Task 2: Restaurant (rows) x City (columns) - SUM of Amount</t>
  </si>
  <si>
    <t>Task 3: COUNT of orders delivered by each Delivery Partner</t>
  </si>
  <si>
    <t>Order Count</t>
  </si>
  <si>
    <t>Task 4: Filtered view - City = Ahmedabad only</t>
  </si>
  <si>
    <t>City Filter:</t>
  </si>
  <si>
    <t>Total Amount for filtered city:</t>
  </si>
  <si>
    <t>In an actual PivotTable, drag 'City' into the Filters area, then pick 'Ahmedabad' from its dropdown - every Value cell recalculates instantly for that one city only, exactly like the formula above.</t>
  </si>
  <si>
    <t>Session 14 - Pivot Tables (Part 2: Advanced Features)</t>
  </si>
  <si>
    <t>Grouping by Month/Quarter/Year, Calculated Fields, Slicers and Drill-down are native PivotTable UI features. Below is clean daily order data plus formula-built Month/Quarter/Year summaries that match what a real PivotTable would show once you group its Date field.</t>
  </si>
  <si>
    <t>Task 1: Sales grouped by Month &amp; Year</t>
  </si>
  <si>
    <t>Month</t>
  </si>
  <si>
    <t>Month #</t>
  </si>
  <si>
    <t>Total Sales (Year 2025)</t>
  </si>
  <si>
    <t>April</t>
  </si>
  <si>
    <t>May</t>
  </si>
  <si>
    <t>June</t>
  </si>
  <si>
    <t>July</t>
  </si>
  <si>
    <t>August</t>
  </si>
  <si>
    <t>September</t>
  </si>
  <si>
    <t>October</t>
  </si>
  <si>
    <t>November</t>
  </si>
  <si>
    <t>December</t>
  </si>
  <si>
    <t>Task 2: Sales grouped by Quarter</t>
  </si>
  <si>
    <t>Quarter</t>
  </si>
  <si>
    <t>Total Sales</t>
  </si>
  <si>
    <t>Q1 (Jan-Mar)</t>
  </si>
  <si>
    <t>Q2 (Apr-Jun)</t>
  </si>
  <si>
    <t>Q3 (Jul-Sep)</t>
  </si>
  <si>
    <t>Q4 (Oct-Dec)</t>
  </si>
  <si>
    <t>Task 3: Calculated Field - Average Order Value per Month = Total Sales / Order Count</t>
  </si>
  <si>
    <t>Avg Order Value (Calc Field)</t>
  </si>
  <si>
    <t>In a real PivotTable: PivotTable Analyze tab &gt; Fields, Items &amp; Sets &gt; Calculated Field &gt; Formula: =Amount/COUNT(Amount) style logic, named 'Avg Order Value'.</t>
  </si>
  <si>
    <t>Task 4 (Slicer) &amp; Task 5 (Drill-down) are interactive PivotTable UI actions: Slicer = PivotTable Analyze &gt; Insert Slicer &gt; tick 'City' or 'Restaurant'. Drill-down = double-click any Grand Total / subtotal cell in a real PivotTable; Excel auto-inserts a new sheet named e.g. 'Sheet5' containing the raw rows that make up that number.</t>
  </si>
  <si>
    <t>Sessions 15 &amp; 16 - Pivot Charts, Slicers, Timelines &amp; Interactive Dashboards</t>
  </si>
  <si>
    <t>Real PivotCharts/Slicers/Timelines are created interactively in Excel from a PivotTable. Below: clean source data, a SUMIFS-based summary table, and matching native Excel charts (Bar / Line / Pie) built from that summary - visually and numerically equivalent to what your PivotChart should show.</t>
  </si>
  <si>
    <t>Team 1</t>
  </si>
  <si>
    <t>Team 2</t>
  </si>
  <si>
    <t>Venue</t>
  </si>
  <si>
    <t>Winner</t>
  </si>
  <si>
    <t>Sawai Mansingh</t>
  </si>
  <si>
    <t>Eden Gardens</t>
  </si>
  <si>
    <t>Wankhede</t>
  </si>
  <si>
    <t>Narendra Modi Stadium</t>
  </si>
  <si>
    <t>Chepauk</t>
  </si>
  <si>
    <t>Task 1: Total matches played by each team (PivotChart source)</t>
  </si>
  <si>
    <t>Matches Played</t>
  </si>
  <si>
    <t>Matches Won</t>
  </si>
  <si>
    <t>Task 5: Wins per team per year, highlight the top performer each year</t>
  </si>
  <si>
    <t>2023</t>
  </si>
  <si>
    <t>2024</t>
  </si>
  <si>
    <t>2025</t>
  </si>
  <si>
    <t>Top performer per year is highlighted gold using a Conditional Formatting formula rule (cell = MAX of its own year column) - the same visual effect as formatting the top bar in a PivotChart.</t>
  </si>
  <si>
    <t>Slicers/Timeline click-path (Tasks 2-4): select the PivotTable -&gt; PivotTable Analyze &gt; Insert Slicer (tick 'Venue') and Insert Timeline (tick 'Match Date'). To link both a bar PivotChart and a line PivotChart to the same Venue slicer/Timeline: Slicer/Timeline &gt; Report Connections &gt; tick both PivotTables.</t>
  </si>
  <si>
    <t>Session 17 - Power Query (Basics)</t>
  </si>
  <si>
    <t>Power Query runs inside Excel's own Query Editor and its steps can't be authored by an external script. Below is the raw 'before' data (as if freshly imported from CSV) plus the exact Applied Steps sequence, and a 'Result' table showing what the cleaned output looks like after those steps.</t>
  </si>
  <si>
    <t>Title</t>
  </si>
  <si>
    <t>Release Year</t>
  </si>
  <si>
    <t>IMDb Rating</t>
  </si>
  <si>
    <t>Oppenheimer</t>
  </si>
  <si>
    <t>Drama, History</t>
  </si>
  <si>
    <t>Barbie</t>
  </si>
  <si>
    <t>Comedy, Fantasy</t>
  </si>
  <si>
    <t>Dune Part Two</t>
  </si>
  <si>
    <t>Action, Sci-Fi</t>
  </si>
  <si>
    <t>Poor Things</t>
  </si>
  <si>
    <t>Comedy, Drama</t>
  </si>
  <si>
    <t>Action, Crime</t>
  </si>
  <si>
    <t>Drama, Biography</t>
  </si>
  <si>
    <t>Action, Thriller</t>
  </si>
  <si>
    <t>Sci-Fi, Action</t>
  </si>
  <si>
    <t>Applied Steps used in Power Query Editor:</t>
  </si>
  <si>
    <t>1. Source: Get Data &gt; From File &gt; From Text/CSV -&gt; movies.csv</t>
  </si>
  <si>
    <t>2. Changed Type: set Release Year -&gt; Whole Number, IMDb Rating -&gt; Decimal Number</t>
  </si>
  <si>
    <t>3. Removed Rows &gt; Remove Blank Rows on the IMDb Rating column (drops rows with missing ratings)</t>
  </si>
  <si>
    <t>4. Split Column &gt; By Delimiter (comma) on Genre, keep only the first split column as 'Primary Genre'</t>
  </si>
  <si>
    <t>5. Close &amp; Load To... &gt; Existing/New worksheet</t>
  </si>
  <si>
    <t>Result: cleaned data after all Applied Steps</t>
  </si>
  <si>
    <t>Primary Genre</t>
  </si>
  <si>
    <t>Drama</t>
  </si>
  <si>
    <t>Action</t>
  </si>
  <si>
    <t>Comedy</t>
  </si>
  <si>
    <t>Sci-Fi</t>
  </si>
  <si>
    <t>Session 18 - Power Query (Merging &amp; Appending)</t>
  </si>
  <si>
    <t>Task 1: Merge Restaurants + Orders on RestaurantID (LEFT OUTER JOIN)</t>
  </si>
  <si>
    <t>RestaurantID</t>
  </si>
  <si>
    <t>Name</t>
  </si>
  <si>
    <t>OrderID</t>
  </si>
  <si>
    <t>OrderAmount</t>
  </si>
  <si>
    <t>Merged result (VLOOKUP/INDEX-MATCH stands in for the Power Query Merge step)</t>
  </si>
  <si>
    <t>Task 2: Append last month's + this month's Zomato orders</t>
  </si>
  <si>
    <t>UserID</t>
  </si>
  <si>
    <t>Date</t>
  </si>
  <si>
    <t>U1</t>
  </si>
  <si>
    <t>U2</t>
  </si>
  <si>
    <t>U3</t>
  </si>
  <si>
    <t>Appended (combined) table - Power Query 'Append Queries'</t>
  </si>
  <si>
    <t>Task 3: Append FlipkartProducts + MyntraProducts (missing Discount -&gt; null)</t>
  </si>
  <si>
    <t>ProductID</t>
  </si>
  <si>
    <t>Bag</t>
  </si>
  <si>
    <t>Watch</t>
  </si>
  <si>
    <t>Shirt</t>
  </si>
  <si>
    <t>Apparel</t>
  </si>
  <si>
    <t>Shoes</t>
  </si>
  <si>
    <t>Footwear</t>
  </si>
  <si>
    <t>Appended - FlipkartProducts rows get NULL Discount (column didn't exist there)</t>
  </si>
  <si>
    <t>Task 4: Replace nulls in merged table (Restaurant Name/Order Amount -&gt; 'Unknown'/0)</t>
  </si>
  <si>
    <t>After 'Replace Values': nulls -&gt; 'Unknown' (text col) / 0 (number col)</t>
  </si>
  <si>
    <t>Unknown</t>
  </si>
  <si>
    <t>Session 19 - Excel Dashboard Design</t>
  </si>
  <si>
    <t>ZOMATO-STYLE FOOD DELIVERY ANALYTICS</t>
  </si>
  <si>
    <t>Header | KPIs | Trends | Insights wireframe</t>
  </si>
  <si>
    <t>MIN ORDER VALUE</t>
  </si>
  <si>
    <t>MAX ORDER VALUE</t>
  </si>
  <si>
    <t>AVG ORDER VALUE</t>
  </si>
  <si>
    <t>Donut chart source: cuisine share of orders</t>
  </si>
  <si>
    <t>Cuisine</t>
  </si>
  <si>
    <t>Orders</t>
  </si>
  <si>
    <t>Indian</t>
  </si>
  <si>
    <t>Chinese</t>
  </si>
  <si>
    <t>Italian</t>
  </si>
  <si>
    <t>Mexican</t>
  </si>
  <si>
    <t>Set Excel Pie Chart 'Doughnut Hole Size' via right-click chart type, or Insert &gt; Charts &gt; Doughnut directly.</t>
  </si>
  <si>
    <t>Task 4: Waterfall - month-on-month change in total orders (Swiggy-style)</t>
  </si>
  <si>
    <t>Period</t>
  </si>
  <si>
    <t>Orders / Change</t>
  </si>
  <si>
    <t>Jan</t>
  </si>
  <si>
    <t>Feb Change</t>
  </si>
  <si>
    <t>Mar Change</t>
  </si>
  <si>
    <t>Apr Change</t>
  </si>
  <si>
    <t>May Change</t>
  </si>
  <si>
    <t>Select this range -&gt; Insert tab &gt; Waterfall/Stock/Chart icon &gt; Waterfall. Right-click the 'Jan' and any running-total bars and mark 'Set as Total' so Excel colors increases/decreases automatically.</t>
  </si>
  <si>
    <t>Design principles applied: consistent 3-color KPI palette, merged KPI cards for alignment/spacing, bold header banner, and a single accent color (blue #1F4E78) tying the whole dashboard together.</t>
  </si>
  <si>
    <t>Session 20 - Case Study: Retail Store Sales Dashboard &amp; Analysis</t>
  </si>
  <si>
    <t>Representative Superstore-style sample (same column structure as Kaggle's SampleSuperstore.csv). Substitute your own downloaded CSV rows here if required by your trainer; every formula below references these columns by name/position so it will keep working.</t>
  </si>
  <si>
    <t>Ship Date</t>
  </si>
  <si>
    <t>Ship Mode</t>
  </si>
  <si>
    <t>Customer ID</t>
  </si>
  <si>
    <t>Segment</t>
  </si>
  <si>
    <t>Country</t>
  </si>
  <si>
    <t>State</t>
  </si>
  <si>
    <t>Sub-Category</t>
  </si>
  <si>
    <t>Quantity</t>
  </si>
  <si>
    <t>Profit</t>
  </si>
  <si>
    <t>CA-2025000</t>
  </si>
  <si>
    <t>First Class</t>
  </si>
  <si>
    <t>CU-1000</t>
  </si>
  <si>
    <t>Consumer</t>
  </si>
  <si>
    <t>India</t>
  </si>
  <si>
    <t>Gujarat</t>
  </si>
  <si>
    <t>PRD-0</t>
  </si>
  <si>
    <t>Furniture</t>
  </si>
  <si>
    <t>Tables</t>
  </si>
  <si>
    <t>CA-2025001</t>
  </si>
  <si>
    <t>CU-1001</t>
  </si>
  <si>
    <t>Corporate</t>
  </si>
  <si>
    <t>Pune</t>
  </si>
  <si>
    <t>Central</t>
  </si>
  <si>
    <t>PRD-1</t>
  </si>
  <si>
    <t>Technology</t>
  </si>
  <si>
    <t>CA-2025002</t>
  </si>
  <si>
    <t>Standard Class</t>
  </si>
  <si>
    <t>CU-1002</t>
  </si>
  <si>
    <t>Maharashtra</t>
  </si>
  <si>
    <t>PRD-2</t>
  </si>
  <si>
    <t>Phones</t>
  </si>
  <si>
    <t>CA-2025003</t>
  </si>
  <si>
    <t>CU-1003</t>
  </si>
  <si>
    <t>PRD-3</t>
  </si>
  <si>
    <t>Chairs</t>
  </si>
  <si>
    <t>CA-2025004</t>
  </si>
  <si>
    <t>CU-1004</t>
  </si>
  <si>
    <t>PRD-4</t>
  </si>
  <si>
    <t>CA-2025005</t>
  </si>
  <si>
    <t>Second Class</t>
  </si>
  <si>
    <t>CU-1005</t>
  </si>
  <si>
    <t>PRD-5</t>
  </si>
  <si>
    <t>CA-2025006</t>
  </si>
  <si>
    <t>CU-1006</t>
  </si>
  <si>
    <t>PRD-6</t>
  </si>
  <si>
    <t>CA-2025007</t>
  </si>
  <si>
    <t>CU-1007</t>
  </si>
  <si>
    <t>Home Office</t>
  </si>
  <si>
    <t>PRD-7</t>
  </si>
  <si>
    <t>Bookcases</t>
  </si>
  <si>
    <t>CA-2025008</t>
  </si>
  <si>
    <t>CU-1008</t>
  </si>
  <si>
    <t>PRD-8</t>
  </si>
  <si>
    <t>CA-2025009</t>
  </si>
  <si>
    <t>CU-1009</t>
  </si>
  <si>
    <t>PRD-9</t>
  </si>
  <si>
    <t>Office Supplies</t>
  </si>
  <si>
    <t>Storage</t>
  </si>
  <si>
    <t>CA-2025010</t>
  </si>
  <si>
    <t>CU-1010</t>
  </si>
  <si>
    <t>PRD-10</t>
  </si>
  <si>
    <t>Binders</t>
  </si>
  <si>
    <t>CA-2025011</t>
  </si>
  <si>
    <t>CU-1011</t>
  </si>
  <si>
    <t>PRD-11</t>
  </si>
  <si>
    <t>CA-2025012</t>
  </si>
  <si>
    <t>CU-1012</t>
  </si>
  <si>
    <t>PRD-12</t>
  </si>
  <si>
    <t>CA-2025013</t>
  </si>
  <si>
    <t>CU-1013</t>
  </si>
  <si>
    <t>PRD-13</t>
  </si>
  <si>
    <t>CA-2025014</t>
  </si>
  <si>
    <t>CU-1014</t>
  </si>
  <si>
    <t>PRD-14</t>
  </si>
  <si>
    <t>CA-2025015</t>
  </si>
  <si>
    <t>PRD-15</t>
  </si>
  <si>
    <t>CA-2025016</t>
  </si>
  <si>
    <t>PRD-16</t>
  </si>
  <si>
    <t>CA-2025017</t>
  </si>
  <si>
    <t>PRD-17</t>
  </si>
  <si>
    <t>Machines</t>
  </si>
  <si>
    <t>CA-2025018</t>
  </si>
  <si>
    <t>PRD-18</t>
  </si>
  <si>
    <t>CA-2025019</t>
  </si>
  <si>
    <t>PRD-19</t>
  </si>
  <si>
    <t>CA-2025020</t>
  </si>
  <si>
    <t>CA-2025021</t>
  </si>
  <si>
    <t>Paper</t>
  </si>
  <si>
    <t>CA-2025022</t>
  </si>
  <si>
    <t>CA-2025023</t>
  </si>
  <si>
    <t>CA-2025024</t>
  </si>
  <si>
    <t>CA-2025025</t>
  </si>
  <si>
    <t>CA-2025026</t>
  </si>
  <si>
    <t>CA-2025027</t>
  </si>
  <si>
    <t>CA-2025028</t>
  </si>
  <si>
    <t>CA-2025029</t>
  </si>
  <si>
    <t>CA-2025030</t>
  </si>
  <si>
    <t>CA-2025031</t>
  </si>
  <si>
    <t>CA-2025032</t>
  </si>
  <si>
    <t>CA-2025033</t>
  </si>
  <si>
    <t>CA-2025034</t>
  </si>
  <si>
    <t>CA-2025035</t>
  </si>
  <si>
    <t>CA-2025036</t>
  </si>
  <si>
    <t>CA-2025037</t>
  </si>
  <si>
    <t>CA-2025038</t>
  </si>
  <si>
    <t>CA-2025039</t>
  </si>
  <si>
    <t>Task 1: unique Order IDs (Remove Duplicates would collapse repeats - this sample has none, shown for method)</t>
  </si>
  <si>
    <t>Data &gt; Remove Duplicates &gt; tick only 'Order ID' -&gt; Excel keeps the first occurrence of each Order ID.</t>
  </si>
  <si>
    <t>Task 2: Total Sales &amp; Profit by Region (Pivot-equivalent)</t>
  </si>
  <si>
    <t>Total Profit</t>
  </si>
  <si>
    <t>Highest-profit region:</t>
  </si>
  <si>
    <t>Task 3: Conditional Formatting - Discount&gt;20% AND Profit&lt;0</t>
  </si>
  <si>
    <t>Task 4: Mini dashboard - total Sales, total Profit, Sales by Category chart</t>
  </si>
  <si>
    <t>TOTAL SALES</t>
  </si>
  <si>
    <t>TOTAL PROFIT</t>
  </si>
  <si>
    <t>Task 5: Top 5 most profitable Sub-Categories</t>
  </si>
  <si>
    <t>Select the Sub-Category/Profit table -&gt; Home &gt; Quick Analysis (Ctrl+Q) or Insert &gt; Recommended Charts, then sort this table descending by Total Profit and take the top 5 rows as your answer.</t>
  </si>
  <si>
    <t>Session 21 - Case Study Integration + Mini Dashboard Project</t>
  </si>
  <si>
    <t>Step 1: Raw data with a blank Delivery Partner (needs cleaning)</t>
  </si>
  <si>
    <t>Restaurant ID</t>
  </si>
  <si>
    <t>Delivery Charge</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</si>
  <si>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</si>
  <si>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</si>
  <si>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</si>
  <si>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</si>
  <si>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</si>
  <si>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</si>
  <si>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</si>
  <si>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</si>
  <si>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</si>
  <si>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</si>
  <si>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</si>
  <si>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</si>
  <si>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</si>
  <si>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</si>
  <si>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</si>
  <si>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</si>
  <si>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</si>
  <si>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</si>
  <si>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</si>
  <si>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</si>
  <si>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</si>
  <si>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</si>
  <si>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</si>
  <si>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</si>
  <si>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</si>
  <si>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</si>
  <si>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</si>
  <si>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</si>
  <si>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</si>
  <si>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</si>
  <si>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</si>
  <si>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</si>
  <si>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</si>
  <si>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</si>
  <si>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</si>
  <si>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Step 2: Cleaned - Delivery Partner blanks -&gt; 'Unassigned'</t>
  </si>
  <si>
    <t>Day of Week</t>
  </si>
  <si>
    <t>Unassigned</t>
  </si>
  <si>
    <t>Step 2b: Restaurant Details lookup table + XLOOKUP-equivalent (INDEX/MATCH) Restaurant Name column</t>
  </si>
  <si>
    <t>Restaurant Name (added to main sheet via lookup)</t>
  </si>
  <si>
    <t>Step 3: Day of week extracted from Delivery Date</t>
  </si>
  <si>
    <t>Formula used in column J of the cleaned table:</t>
  </si>
  <si>
    <t>TEXT(D44,"dddd")   (example formula on first cleaned row, shown as text here)</t>
  </si>
  <si>
    <t>Step 4: Total orders &amp; total delivery charges by city (Pivot-equivalent)</t>
  </si>
  <si>
    <t>Total Orders</t>
  </si>
  <si>
    <t>Total Delivery Charges</t>
  </si>
  <si>
    <t>Step 5: Mini dashboard KPIs</t>
  </si>
  <si>
    <t>TOTAL ORDERS</t>
  </si>
  <si>
    <t>AVG DELIVERY DAYS</t>
  </si>
  <si>
    <t>Task 5 also asks for Top 3 restaurants by order count and a City slicer: build a COUNTIF summary by Restaurant Name (same pattern as the City table above), sort descending and take the top 3; add the slicer inside Excel via Insert Slicer once you've built a real PivotTable from this cleaned data.</t>
  </si>
  <si>
    <t>Session 22 - Introduction to Macros &amp; Recording Automations</t>
  </si>
  <si>
    <t>Macros must be recorded/run live inside Excel's own VBA engine (.xlsm), so they can't be embedded by an external file-builder script. Below is the equivalent VBA for every task - open Excel's Developer tab &gt; Visual Basic &gt; Insert Module, paste the relevant code, then run it (or use it to check what the macro recorder captured). Save the workbook as .xlsm to keep macros.</t>
  </si>
  <si>
    <t>Sub Task1_NameAndBold()</t>
  </si>
  <si>
    <t xml:space="preserve">    ' Enters your name into A1 and makes it bold</t>
  </si>
  <si>
    <t xml:space="preserve">    Range("A1").Value = "Your Name"</t>
  </si>
  <si>
    <t xml:space="preserve">    Range("A1").Font.Bold = True</t>
  </si>
  <si>
    <t>End Sub</t>
  </si>
  <si>
    <t>Sub Task2_FormatOrdersHeader()</t>
  </si>
  <si>
    <t xml:space="preserve">    ' Formats header row (row 1) with a fill color and autofits columns</t>
  </si>
  <si>
    <t xml:space="preserve">    With Rows(1)</t>
  </si>
  <si>
    <t xml:space="preserve">        .Interior.Color = RGB(31, 78, 120)</t>
  </si>
  <si>
    <t xml:space="preserve">        .Font.Color = RGB(255, 255, 255)</t>
  </si>
  <si>
    <t xml:space="preserve">        .Font.Bold = True</t>
  </si>
  <si>
    <t xml:space="preserve">    End With</t>
  </si>
  <si>
    <t xml:space="preserve">    Columns("A:D").AutoFit</t>
  </si>
  <si>
    <t>Sub Task4_DeleteBlanksAndSort()</t>
  </si>
  <si>
    <t xml:space="preserve">    ' Deletes blank rows in column A (Instagram followers) then sorts A-Z</t>
  </si>
  <si>
    <t xml:space="preserve">    Dim i As Long, lastRow As Long</t>
  </si>
  <si>
    <t xml:space="preserve">    lastRow = Cells(Rows.Count, 1).End(xlUp).Row</t>
  </si>
  <si>
    <t xml:space="preserve">    For i = lastRow To 1 Step -1</t>
  </si>
  <si>
    <t xml:space="preserve">        If Trim(Cells(i, 1).Value) = "" Then Rows(i).Delete</t>
  </si>
  <si>
    <t xml:space="preserve">    Next i</t>
  </si>
  <si>
    <t xml:space="preserve">    Range("A1:A" &amp; lastRow).Sort Key1:=Range("A1"), Order1:=xlAscending, Header:=xlNo</t>
  </si>
  <si>
    <t>Sub Task5_HighlightNamesStartingWithA()</t>
  </si>
  <si>
    <t xml:space="preserve">    ' Highlights any follower name starting with 'A' in yellow</t>
  </si>
  <si>
    <t xml:space="preserve">    Dim c As Range</t>
  </si>
  <si>
    <t xml:space="preserve">    Dim lastRow As Long</t>
  </si>
  <si>
    <t xml:space="preserve">    For Each c In Range("A1:A" &amp; lastRow)</t>
  </si>
  <si>
    <t xml:space="preserve">        If UCase(Left(Trim(c.Value), 1)) = "A" Then</t>
  </si>
  <si>
    <t xml:space="preserve">            c.Interior.Color = RGB(255, 255, 0)</t>
  </si>
  <si>
    <t xml:space="preserve">        End If</t>
  </si>
  <si>
    <t xml:space="preserve">    Next c</t>
  </si>
  <si>
    <t>Task 3: Save As -&gt; Excel Macro-Enabled Workbook (*.xlsm). Close and reopen the file, then run the macro from Developer &gt; Macros to confirm it still works after reopening.</t>
  </si>
  <si>
    <t>Session 23 - VBA Programming (Basics)</t>
  </si>
  <si>
    <t>Paste each Sub into its own VBA Module (Developer &gt; Visual Basic &gt; Insert &gt; Module) and press F5 to run.</t>
  </si>
  <si>
    <t>Sub Task1_WelcomeMessage()</t>
  </si>
  <si>
    <t xml:space="preserve">    MsgBox "Welcome to VBA Programming!"</t>
  </si>
  <si>
    <t>Sub Task2_VariablesDemo()</t>
  </si>
  <si>
    <t xml:space="preserve">    Dim userName As String</t>
  </si>
  <si>
    <t xml:space="preserve">    Dim orderCount As Integer</t>
  </si>
  <si>
    <t xml:space="preserve">    Dim isPremiumUser As Boolean</t>
  </si>
  <si>
    <t xml:space="preserve">    userName = "Rohit Sharma"</t>
  </si>
  <si>
    <t xml:space="preserve">    orderCount = 12</t>
  </si>
  <si>
    <t xml:space="preserve">    isPremiumUser = True</t>
  </si>
  <si>
    <t xml:space="preserve">    MsgBox "User: " &amp; userName &amp; vbCrLf &amp; _</t>
  </si>
  <si>
    <t xml:space="preserve">           "Orders: " &amp; orderCount &amp; vbCrLf &amp; _</t>
  </si>
  <si>
    <t xml:space="preserve">           "Premium: " &amp; isPremiumUser</t>
  </si>
  <si>
    <t>Sub Task3_ColorCellByValue()</t>
  </si>
  <si>
    <t xml:space="preserve">    ' Colors A1 green if value &gt; 100, red otherwise</t>
  </si>
  <si>
    <t xml:space="preserve">    If Range("A1").Value &gt; 100 Then</t>
  </si>
  <si>
    <t xml:space="preserve">        Range("A1").Interior.Color = RGB(198, 239, 206)   ' green</t>
  </si>
  <si>
    <t xml:space="preserve">    Else</t>
  </si>
  <si>
    <t xml:space="preserve">        Range("A1").Interior.Color = RGB(255, 199, 206)   ' red</t>
  </si>
  <si>
    <t xml:space="preserve">    End If</t>
  </si>
  <si>
    <t>Sub Task4_FillRowNumbers()</t>
  </si>
  <si>
    <t xml:space="preserve">    ' Sets A1:A10 to their own row number using a For loop</t>
  </si>
  <si>
    <t xml:space="preserve">    Dim i As Integer</t>
  </si>
  <si>
    <t xml:space="preserve">    For i = 1 To 10</t>
  </si>
  <si>
    <t xml:space="preserve">        Cells(i, 1).Value = i</t>
  </si>
  <si>
    <t>Sub Task5_BoldAllSheets()</t>
  </si>
  <si>
    <t xml:space="preserve">    ' Sets A1:D1 to bold, size 14 on every worksheet in the workbook</t>
  </si>
  <si>
    <t xml:space="preserve">    Dim ws As Worksheet</t>
  </si>
  <si>
    <t xml:space="preserve">    For Each ws In ThisWorkbook.Worksheets</t>
  </si>
  <si>
    <t xml:space="preserve">        With ws.Range("A1:D1").Font</t>
  </si>
  <si>
    <t xml:space="preserve">            .Bold = True</t>
  </si>
  <si>
    <t xml:space="preserve">            .Size = 14</t>
  </si>
  <si>
    <t xml:space="preserve">        End With</t>
  </si>
  <si>
    <t xml:space="preserve">    Next ws</t>
  </si>
  <si>
    <t>Session 24 - VBA Automation Project + Case Study</t>
  </si>
  <si>
    <t>Full automation macros: formatting, cleaning, PivotTable/refresh, PDF export with error handling, and a Power-Query-refresh macro. Paste into a Module; wire the button-callable Subs to a Form/Shape via Right-click Shape &gt; Assign Macro.</t>
  </si>
  <si>
    <t>Sub Task1_FormatIPLData()</t>
  </si>
  <si>
    <t xml:space="preserve">    ' Bold headers, autofit columns, add borders to the used range</t>
  </si>
  <si>
    <t xml:space="preserve">    Dim usedRng As Range</t>
  </si>
  <si>
    <t xml:space="preserve">    Set usedRng = ActiveSheet.UsedRange</t>
  </si>
  <si>
    <t xml:space="preserve">    usedRng.Borders.LineStyle = xlContinuous</t>
  </si>
  <si>
    <t xml:space="preserve">    usedRng.Columns.AutoFit</t>
  </si>
  <si>
    <t>Sub CleanPlaylistData()</t>
  </si>
  <si>
    <t xml:space="preserve">    ' Removes duplicate rows and trims extra spaces on a Spotify playlist export</t>
  </si>
  <si>
    <t xml:space="preserve">    Dim lastRow As Long, i As Long</t>
  </si>
  <si>
    <t xml:space="preserve">    ' Trim all text cells in column A (Song Title) and B (Artist)</t>
  </si>
  <si>
    <t xml:space="preserve">    For i = 2 To lastRow</t>
  </si>
  <si>
    <t xml:space="preserve">        Cells(i, 1).Value = Trim(Cells(i, 1).Value)</t>
  </si>
  <si>
    <t xml:space="preserve">        Cells(i, 2).Value = Trim(Cells(i, 2).Value)</t>
  </si>
  <si>
    <t xml:space="preserve">    ' Remove duplicate rows based on Song Title + Artist</t>
  </si>
  <si>
    <t xml:space="preserve">    Range("A1:B" &amp; lastRow).RemoveDuplicates Columns:=Array(1, 2), Header:=xlYes</t>
  </si>
  <si>
    <t>Sub RefreshPivotsAndCharts()</t>
  </si>
  <si>
    <t xml:space="preserve">    ' Button macro: refreshes every PivotTable and its charts on the active sheet</t>
  </si>
  <si>
    <t xml:space="preserve">    Dim pt As PivotTable</t>
  </si>
  <si>
    <t xml:space="preserve">    For Each pt In ActiveSheet.PivotTables</t>
  </si>
  <si>
    <t xml:space="preserve">        pt.RefreshTable</t>
  </si>
  <si>
    <t xml:space="preserve">    Next pt</t>
  </si>
  <si>
    <t xml:space="preserve">    MsgBox "All PivotTables refreshed."</t>
  </si>
  <si>
    <t>Sub ExportDashboardToPDF()</t>
  </si>
  <si>
    <t xml:space="preserve">    ' Exports the active sheet as PDF, with basic error handling</t>
  </si>
  <si>
    <t xml:space="preserve">    On Error Resume Next</t>
  </si>
  <si>
    <t xml:space="preserve">    Dim savePath As String</t>
  </si>
  <si>
    <t xml:space="preserve">    savePath = Environ("USERPROFILE") &amp; "\Desktop\Zomato_Sales_Dashboard.pdf"</t>
  </si>
  <si>
    <t xml:space="preserve">    ActiveSheet.ExportAsFixedFormat Type:=xlTypePDF, Filename:=savePath, _</t>
  </si>
  <si>
    <t xml:space="preserve">        Quality:=xlQualityStandard, IncludeDocProperties:=True, _</t>
  </si>
  <si>
    <t xml:space="preserve">        IgnorePrintAreas:=False, OpenAfterPublish:=False</t>
  </si>
  <si>
    <t xml:space="preserve">    If Err.Number &lt;&gt; 0 Then</t>
  </si>
  <si>
    <t xml:space="preserve">        MsgBox "Export failed: " &amp; Err.Description</t>
  </si>
  <si>
    <t xml:space="preserve">        Err.Clear</t>
  </si>
  <si>
    <t xml:space="preserve">        MsgBox "Dashboard exported successfully to " &amp; savePath</t>
  </si>
  <si>
    <t xml:space="preserve">    On Error GoTo 0</t>
  </si>
  <si>
    <t>Sub RefreshPowerQueryAndNotify()</t>
  </si>
  <si>
    <t xml:space="preserve">    ' Prompt used with ChatGPT/Copilot: "Write a VBA macro that refreshes a Power Query</t>
  </si>
  <si>
    <t xml:space="preserve">    ' data source and then displays a message box saying data refreshed successfully."</t>
  </si>
  <si>
    <t xml:space="preserve">    ThisWorkbook.RefreshAll</t>
  </si>
  <si>
    <t xml:space="preserve">    Application.CalculateUntilAsyncQueriesDone</t>
  </si>
  <si>
    <t xml:space="preserve">    MsgBox "Data refreshed successfully!"</t>
  </si>
  <si>
    <t xml:space="preserve"> anjali    mehta </t>
  </si>
  <si>
    <t xml:space="preserve"> RAVI    PATEL</t>
  </si>
  <si>
    <t xml:space="preserve"> Priya        Singh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</si>
</sst>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yyyy\-mm\-dd"/>
    <numFmt numFmtId="165" formatCode="dd\-mmm\-yyyy"/>
    <numFmt numFmtId="166" formatCode="0.0%"/>
    <numFmt numFmtId="167" formatCode="dd\-mmm\-yyyy\ hh:mm"/>
    <numFmt numFmtId="168" formatCode="dd\-mmm"/>
    <numFmt numFmtId="169" formatCode="\₹#,##0"/>
    <numFmt numFmtId="170" formatCode="dd\-mmm\-yy"/>
    <numFmt numFmtId="171" formatCode="0.0"/>
  </numFmts>
  <fonts count="9" x14ac:knownFonts="1">
    <font>
      <sz val="11"/>
      <color theme="1"/>
      <name val="Calibri"/>
      <family val="2"/>
      <charset val="1"/>
    </font>
    <font>
      <b/>
      <sz val="14"/>
      <color rgb="FF1F4E78"/>
      <name val="Arial"/>
      <charset val="1"/>
    </font>
    <font>
      <b/>
      <i/>
      <sz val="11"/>
      <color rgb="FF444444"/>
      <name val="Arial"/>
      <charset val="1"/>
    </font>
    <font>
      <b/>
      <sz val="11"/>
      <color rgb="FFFFFFFF"/>
      <name val="Arial"/>
      <charset val="1"/>
    </font>
    <font>
      <sz val="10"/>
      <name val="Arial"/>
      <charset val="1"/>
    </font>
    <font>
      <i/>
      <sz val="9"/>
      <color rgb="FF666666"/>
      <name val="Arial"/>
      <charset val="1"/>
    </font>
    <font>
      <b/>
      <sz val="9"/>
      <color rgb="FF444444"/>
      <name val="Arial"/>
      <charset val="1"/>
    </font>
    <font>
      <b/>
      <sz val="16"/>
      <color rgb="FF1F4E78"/>
      <name val="Arial"/>
      <charset val="1"/>
    </font>
    <font>
      <sz val="10"/>
      <name val="Consolas"/>
      <charset val="1"/>
    </font>
  </fonts>
  <fills count="6">
    <fill>
      <patternFill patternType="none"/>
    </fill>
    <fill>
      <patternFill patternType="gray125"/>
    </fill>
    <fill>
      <patternFill patternType="solid">
        <fgColor rgb="FF1F4E78"/>
        <bgColor rgb="FF003366"/>
      </patternFill>
    </fill>
    <fill>
      <patternFill patternType="solid">
        <fgColor rgb="FFD9E1F2"/>
        <bgColor rgb="FFD9D9D9"/>
      </patternFill>
    </fill>
    <fill>
      <patternFill patternType="solid">
        <fgColor rgb="FFFCE4D6"/>
        <bgColor rgb="FFE2EFDA"/>
      </patternFill>
    </fill>
    <fill>
      <patternFill patternType="solid">
        <fgColor rgb="FFE2EFDA"/>
        <bgColor rgb="FFD9E1F2"/>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3" fillId="2" borderId="1" xfId="0" applyFont="1" applyFill="1" applyBorder="1" applyAlignment="1">
      <alignment horizontal="center" vertical="center" wrapText="1"/>
    </xf>
    <xf numFmtId="0" fontId="4" fillId="0" borderId="1" xfId="0" applyFont="1" applyBorder="1"/>
    <xf numFmtId="164" fontId="4" fillId="0" borderId="1" xfId="0" applyNumberFormat="1" applyFont="1" applyBorder="1"/>
    <xf numFmtId="0" fontId="4" fillId="0" borderId="0" xfId="0" applyFont="1"/>
    <xf numFmtId="9" fontId="4" fillId="0" borderId="0" xfId="0" applyNumberFormat="1" applyFont="1"/>
    <xf numFmtId="165" fontId="4" fillId="0" borderId="1" xfId="0" applyNumberFormat="1" applyFont="1" applyBorder="1"/>
    <xf numFmtId="3" fontId="4" fillId="0" borderId="1" xfId="0" applyNumberFormat="1" applyFont="1" applyBorder="1"/>
    <xf numFmtId="166" fontId="4" fillId="0" borderId="1" xfId="0" applyNumberFormat="1" applyFont="1" applyBorder="1"/>
    <xf numFmtId="0" fontId="3" fillId="2" borderId="0" xfId="0" applyFont="1" applyFill="1"/>
    <xf numFmtId="0" fontId="4" fillId="0" borderId="0" xfId="0" applyFont="1" applyAlignment="1">
      <alignment wrapText="1"/>
    </xf>
    <xf numFmtId="165" fontId="4" fillId="0" borderId="0" xfId="0" applyNumberFormat="1" applyFont="1"/>
    <xf numFmtId="167" fontId="4" fillId="0" borderId="0" xfId="0" applyNumberFormat="1" applyFont="1"/>
    <xf numFmtId="0" fontId="4" fillId="0" borderId="0" xfId="0" applyFont="1"/>
    <xf numFmtId="0" fontId="5" fillId="0" borderId="0" xfId="0" applyFont="1"/>
    <xf numFmtId="168" fontId="3" fillId="2" borderId="0" xfId="0" applyNumberFormat="1" applyFont="1" applyFill="1"/>
    <xf numFmtId="165" fontId="0" fillId="0" borderId="0" xfId="0" applyNumberFormat="1"/>
    <xf numFmtId="170" fontId="4" fillId="0" borderId="1" xfId="0" applyNumberFormat="1" applyFont="1" applyBorder="1"/>
    <xf numFmtId="0" fontId="6" fillId="3" borderId="0" xfId="0" applyFont="1" applyFill="1"/>
    <xf numFmtId="0" fontId="6" fillId="5" borderId="0" xfId="0" applyFont="1" applyFill="1"/>
    <xf numFmtId="169" fontId="1" fillId="0" borderId="0" xfId="0" applyNumberFormat="1" applyFont="1"/>
    <xf numFmtId="0" fontId="1" fillId="0" borderId="0" xfId="0" applyFont="1"/>
    <xf numFmtId="171" fontId="1" fillId="0" borderId="0" xfId="0" applyNumberFormat="1" applyFont="1"/>
    <xf numFmtId="0" fontId="8" fillId="0" borderId="0" xfId="0" applyFont="1"/>
    <xf numFmtId="0" fontId="2" fillId="0" borderId="0" xfId="0" applyFont="1" applyBorder="1"/>
    <xf numFmtId="0" fontId="5" fillId="0" borderId="0" xfId="0" applyFont="1" applyBorder="1" applyAlignment="1">
      <alignment vertical="top" wrapText="1"/>
    </xf>
    <xf numFmtId="0" fontId="1" fillId="0" borderId="0" xfId="0" applyFont="1" applyBorder="1"/>
    <xf numFmtId="169" fontId="7" fillId="3" borderId="0" xfId="0" applyNumberFormat="1" applyFont="1" applyFill="1" applyBorder="1"/>
    <xf numFmtId="169" fontId="7" fillId="4" borderId="0" xfId="0" applyNumberFormat="1" applyFont="1" applyFill="1" applyBorder="1"/>
    <xf numFmtId="169" fontId="7" fillId="5" borderId="0" xfId="0" applyNumberFormat="1" applyFont="1" applyFill="1" applyBorder="1"/>
    <xf numFmtId="0" fontId="6" fillId="3" borderId="0" xfId="0" applyFont="1" applyFill="1" applyBorder="1"/>
    <xf numFmtId="0" fontId="6" fillId="4" borderId="0" xfId="0" applyFont="1" applyFill="1" applyBorder="1"/>
    <xf numFmtId="0" fontId="6" fillId="5" borderId="0" xfId="0" applyFont="1" applyFill="1" applyBorder="1"/>
    <xf numFmtId="0" fontId="3" fillId="2" borderId="3" xfId="0" applyFont="1" applyFill="1" applyBorder="1" applyAlignment="1">
      <alignment horizontal="center" vertical="center" wrapText="1"/>
    </xf>
    <xf numFmtId="0" fontId="4" fillId="0" borderId="2" xfId="0" applyFont="1" applyBorder="1"/>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0" borderId="2" xfId="0" applyFont="1" applyBorder="1" applyAlignment="1">
      <alignment horizontal="center"/>
    </xf>
    <xf numFmtId="0" fontId="4" fillId="0" borderId="4" xfId="0" applyFont="1" applyBorder="1" applyAlignment="1">
      <alignment horizontal="left"/>
    </xf>
    <xf numFmtId="0" fontId="4" fillId="0" borderId="5" xfId="0" applyFont="1" applyBorder="1" applyAlignment="1">
      <alignment horizontal="left"/>
    </xf>
    <xf numFmtId="0" fontId="4" fillId="0" borderId="6" xfId="0" applyFont="1" applyBorder="1" applyAlignment="1">
      <alignment horizontal="left"/>
    </xf>
  </cellXfs>
  <cellStyles count="1">
    <cellStyle name="Normal" xfId="0" builtinId="0"/>
  </cellStyles>
  <dxfs count="9">
    <dxf>
      <fill>
        <patternFill>
          <bgColor rgb="FFFFC7CE"/>
        </patternFill>
      </fill>
    </dxf>
    <dxf>
      <fill>
        <patternFill>
          <bgColor rgb="FFFFD966"/>
        </patternFill>
      </fill>
    </dxf>
    <dxf>
      <fill>
        <patternFill>
          <bgColor rgb="FFFFD966"/>
        </patternFill>
      </fill>
    </dxf>
    <dxf>
      <fill>
        <patternFill>
          <bgColor rgb="FFFFD966"/>
        </patternFill>
      </fill>
    </dxf>
    <dxf>
      <fill>
        <patternFill>
          <bgColor rgb="FFFFC7CE"/>
        </patternFill>
      </fill>
    </dxf>
    <dxf>
      <fill>
        <patternFill>
          <bgColor rgb="FFC6EFCE"/>
        </patternFill>
      </fill>
    </dxf>
    <dxf>
      <fill>
        <patternFill>
          <bgColor rgb="FFFFCC99"/>
        </patternFill>
      </fill>
    </dxf>
    <dxf>
      <fill>
        <patternFill>
          <bgColor rgb="FFADD8E6"/>
        </patternFill>
      </fill>
    </dxf>
    <dxf>
      <fill>
        <patternFill>
          <bgColor rgb="FFFFFF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008080"/>
      <rgbColor rgb="FFBFBFBF"/>
      <rgbColor rgb="FF878787"/>
      <rgbColor rgb="FF9999FF"/>
      <rgbColor rgb="FFC0504D"/>
      <rgbColor rgb="FFE2EFDA"/>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CE4D6"/>
      <rgbColor rgb="FFADD8E6"/>
      <rgbColor rgb="FFFFC7CE"/>
      <rgbColor rgb="FFCC99FF"/>
      <rgbColor rgb="FFFFCC99"/>
      <rgbColor rgb="FF4F81BD"/>
      <rgbColor rgb="FF33CCCC"/>
      <rgbColor rgb="FF9BBB59"/>
      <rgbColor rgb="FFFFD966"/>
      <rgbColor rgb="FFFF9900"/>
      <rgbColor rgb="FFFF6600"/>
      <rgbColor rgb="FF8064A2"/>
      <rgbColor rgb="FF969696"/>
      <rgbColor rgb="FF003366"/>
      <rgbColor rgb="FF339966"/>
      <rgbColor rgb="FF003300"/>
      <rgbColor rgb="FF333300"/>
      <rgbColor rgb="FF993300"/>
      <rgbColor rgb="FF993366"/>
      <rgbColor rgb="FF1F4E78"/>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Total Matches Played by Team</a:t>
            </a:r>
          </a:p>
        </c:rich>
      </c:tx>
      <c:overlay val="0"/>
      <c:spPr>
        <a:noFill/>
        <a:ln w="0">
          <a:noFill/>
        </a:ln>
      </c:spPr>
    </c:title>
    <c:autoTitleDeleted val="0"/>
    <c:plotArea>
      <c:layout/>
      <c:barChart>
        <c:barDir val="col"/>
        <c:grouping val="clustered"/>
        <c:varyColors val="0"/>
        <c:ser>
          <c:idx val="0"/>
          <c:order val="0"/>
          <c:tx>
            <c:strRef>
              <c:f>'S15-16_PivotCharts_Dashboards'!$B$49</c:f>
              <c:strCache>
                <c:ptCount val="1"/>
                <c:pt idx="0">
                  <c:v>Matches Played</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'S15-16_PivotCharts_Dashboards'!$A$50:$A$55</c:f>
              <c:strCache>
                <c:ptCount val="5"/>
                <c:pt idx="0">
                  <c:v>Mumbai Indians</c:v>
                </c:pt>
                <c:pt idx="1">
                  <c:v>Chennai Super Kings</c:v>
                </c:pt>
                <c:pt idx="2">
                  <c:v>Gujarat Titans</c:v>
                </c:pt>
                <c:pt idx="3">
                  <c:v>Kolkata Knight Riders</c:v>
                </c:pt>
                <c:pt idx="4">
                  <c:v>Rajasthan Royals</c:v>
                </c:pt>
              </c:strCache>
            </c:strRef>
          </c:cat>
          <c:val>
            <c:numRef>
              <c:f>'S15-16_PivotCharts_Dashboards'!$B$50:$B$55</c:f>
              <c:numCache>
                <c:formatCode>General</c:formatCode>
                <c:ptCount val="6"/>
                <c:pt idx="0">
                  <c:v>19</c:v>
                </c:pt>
                <c:pt idx="1">
                  <c:v>19</c:v>
                </c:pt>
                <c:pt idx="2">
                  <c:v>9</c:v>
                </c:pt>
                <c:pt idx="3">
                  <c:v>15</c:v>
                </c:pt>
                <c:pt idx="4">
                  <c:v>18</c:v>
                </c:pt>
              </c:numCache>
            </c:numRef>
          </c:val>
          <c:extLst>
            <c:ext xmlns:c16="http://schemas.microsoft.com/office/drawing/2014/chart" uri="{C3380CC4-5D6E-409C-BE32-E72D297353CC}">
              <c16:uniqueId val="{00000000-4207-4A2D-B011-4D5A4DA6C9EA}"/>
            </c:ext>
          </c:extLst>
        </c:ser>
        <c:ser>
          <c:idx val="1"/>
          <c:order val="1"/>
          <c:tx>
            <c:strRef>
              <c:f>'S15-16_PivotCharts_Dashboards'!$C$49</c:f>
              <c:strCache>
                <c:ptCount val="1"/>
                <c:pt idx="0">
                  <c:v>Matches Won</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'S15-16_PivotCharts_Dashboards'!$A$50:$A$55</c:f>
              <c:strCache>
                <c:ptCount val="5"/>
                <c:pt idx="0">
                  <c:v>Mumbai Indians</c:v>
                </c:pt>
                <c:pt idx="1">
                  <c:v>Chennai Super Kings</c:v>
                </c:pt>
                <c:pt idx="2">
                  <c:v>Gujarat Titans</c:v>
                </c:pt>
                <c:pt idx="3">
                  <c:v>Kolkata Knight Riders</c:v>
                </c:pt>
                <c:pt idx="4">
                  <c:v>Rajasthan Royals</c:v>
                </c:pt>
              </c:strCache>
            </c:strRef>
          </c:cat>
          <c:val>
            <c:numRef>
              <c:f>'S15-16_PivotCharts_Dashboards'!$C$50:$C$55</c:f>
              <c:numCache>
                <c:formatCode>General</c:formatCode>
                <c:ptCount val="6"/>
                <c:pt idx="0">
                  <c:v>8</c:v>
                </c:pt>
                <c:pt idx="1">
                  <c:v>6</c:v>
                </c:pt>
                <c:pt idx="2">
                  <c:v>6</c:v>
                </c:pt>
                <c:pt idx="3">
                  <c:v>8</c:v>
                </c:pt>
                <c:pt idx="4">
                  <c:v>12</c:v>
                </c:pt>
              </c:numCache>
            </c:numRef>
          </c:val>
          <c:extLst>
            <c:ext xmlns:c16="http://schemas.microsoft.com/office/drawing/2014/chart" uri="{C3380CC4-5D6E-409C-BE32-E72D297353CC}">
              <c16:uniqueId val="{00000001-4207-4A2D-B011-4D5A4DA6C9EA}"/>
            </c:ext>
          </c:extLst>
        </c:ser>
        <c:dLbls>
          <c:showLegendKey val="0"/>
          <c:showVal val="0"/>
          <c:showCatName val="0"/>
          <c:showSerName val="0"/>
          <c:showPercent val="0"/>
          <c:showBubbleSize val="0"/>
        </c:dLbls>
        <c:gapWidth val="150"/>
        <c:axId val="35330486"/>
        <c:axId val="38791916"/>
      </c:barChart>
      <c:catAx>
        <c:axId val="3533048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Team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791916"/>
        <c:crosses val="autoZero"/>
        <c:auto val="1"/>
        <c:lblAlgn val="ctr"/>
        <c:lblOffset val="100"/>
        <c:noMultiLvlLbl val="0"/>
      </c:catAx>
      <c:valAx>
        <c:axId val="3879191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Matches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33048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Order Share by Cuisine</a:t>
            </a:r>
          </a:p>
        </c:rich>
      </c:tx>
      <c:overlay val="0"/>
      <c:spPr>
        <a:noFill/>
        <a:ln w="0">
          <a:noFill/>
        </a:ln>
      </c:spPr>
    </c:title>
    <c:autoTitleDeleted val="0"/>
    <c:plotArea>
      <c:layout/>
      <c:pieChart>
        <c:varyColors val="1"/>
        <c:ser>
          <c:idx val="0"/>
          <c:order val="0"/>
          <c:tx>
            <c:strRef>
              <c:f>S19_Dashboard_Design!$B$41</c:f>
              <c:strCache>
                <c:ptCount val="1"/>
                <c:pt idx="0">
                  <c:v>Orders</c:v>
                </c:pt>
              </c:strCache>
            </c:strRef>
          </c:tx>
          <c:spPr>
            <a:solidFill>
              <a:srgbClr val="4F81BD"/>
            </a:solidFill>
            <a:ln w="0">
              <a:noFill/>
            </a:ln>
          </c:spPr>
          <c:dPt>
            <c:idx val="0"/>
            <c:bubble3D val="0"/>
            <c:extLst>
              <c:ext xmlns:c16="http://schemas.microsoft.com/office/drawing/2014/chart" uri="{C3380CC4-5D6E-409C-BE32-E72D297353CC}">
                <c16:uniqueId val="{00000001-8386-461F-8957-61A279C5A783}"/>
              </c:ext>
            </c:extLst>
          </c:dPt>
          <c:dPt>
            <c:idx val="1"/>
            <c:bubble3D val="0"/>
            <c:spPr>
              <a:solidFill>
                <a:srgbClr val="C0504D"/>
              </a:solidFill>
              <a:ln w="0">
                <a:noFill/>
              </a:ln>
            </c:spPr>
            <c:extLst>
              <c:ext xmlns:c16="http://schemas.microsoft.com/office/drawing/2014/chart" uri="{C3380CC4-5D6E-409C-BE32-E72D297353CC}">
                <c16:uniqueId val="{00000003-8386-461F-8957-61A279C5A783}"/>
              </c:ext>
            </c:extLst>
          </c:dPt>
          <c:dPt>
            <c:idx val="2"/>
            <c:bubble3D val="0"/>
            <c:spPr>
              <a:solidFill>
                <a:srgbClr val="9BBB59"/>
              </a:solidFill>
              <a:ln w="0">
                <a:noFill/>
              </a:ln>
            </c:spPr>
            <c:extLst>
              <c:ext xmlns:c16="http://schemas.microsoft.com/office/drawing/2014/chart" uri="{C3380CC4-5D6E-409C-BE32-E72D297353CC}">
                <c16:uniqueId val="{00000005-8386-461F-8957-61A279C5A783}"/>
              </c:ext>
            </c:extLst>
          </c:dPt>
          <c:dPt>
            <c:idx val="3"/>
            <c:bubble3D val="0"/>
            <c:spPr>
              <a:solidFill>
                <a:srgbClr val="8064A2"/>
              </a:solidFill>
              <a:ln w="0">
                <a:noFill/>
              </a:ln>
            </c:spPr>
            <c:extLst>
              <c:ext xmlns:c16="http://schemas.microsoft.com/office/drawing/2014/chart" uri="{C3380CC4-5D6E-409C-BE32-E72D297353CC}">
                <c16:uniqueId val="{00000007-8386-461F-8957-61A279C5A783}"/>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8386-461F-8957-61A279C5A783}"/>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8386-461F-8957-61A279C5A783}"/>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8386-461F-8957-61A279C5A783}"/>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8386-461F-8957-61A279C5A783}"/>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S19_Dashboard_Design!$A$42:$A$45</c:f>
              <c:strCache>
                <c:ptCount val="4"/>
                <c:pt idx="0">
                  <c:v>Indian</c:v>
                </c:pt>
                <c:pt idx="1">
                  <c:v>Chinese</c:v>
                </c:pt>
                <c:pt idx="2">
                  <c:v>Italian</c:v>
                </c:pt>
                <c:pt idx="3">
                  <c:v>Mexican</c:v>
                </c:pt>
              </c:strCache>
            </c:strRef>
          </c:cat>
          <c:val>
            <c:numRef>
              <c:f>S19_Dashboard_Design!$B$42:$B$45</c:f>
              <c:numCache>
                <c:formatCode>General</c:formatCode>
                <c:ptCount val="4"/>
                <c:pt idx="0">
                  <c:v>42</c:v>
                </c:pt>
                <c:pt idx="1">
                  <c:v>25</c:v>
                </c:pt>
                <c:pt idx="2">
                  <c:v>20</c:v>
                </c:pt>
                <c:pt idx="3">
                  <c:v>13</c:v>
                </c:pt>
              </c:numCache>
            </c:numRef>
          </c:val>
          <c:extLst>
            <c:ext xmlns:c16="http://schemas.microsoft.com/office/drawing/2014/chart" uri="{C3380CC4-5D6E-409C-BE32-E72D297353CC}">
              <c16:uniqueId val="{00000008-8386-461F-8957-61A279C5A783}"/>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Sales by Category</a:t>
            </a:r>
          </a:p>
        </c:rich>
      </c:tx>
      <c:overlay val="0"/>
      <c:spPr>
        <a:noFill/>
        <a:ln w="0">
          <a:noFill/>
        </a:ln>
      </c:spPr>
    </c:title>
    <c:autoTitleDeleted val="0"/>
    <c:plotArea>
      <c:layout/>
      <c:barChart>
        <c:barDir val="col"/>
        <c:grouping val="clustered"/>
        <c:varyColors val="0"/>
        <c:ser>
          <c:idx val="0"/>
          <c:order val="0"/>
          <c:tx>
            <c:strRef>
              <c:f>S20_Superstore_CaseStudy!$B$67</c:f>
              <c:strCache>
                <c:ptCount val="1"/>
                <c:pt idx="0">
                  <c:v>Total Sales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S20_Superstore_CaseStudy!$A$68:$A$71</c:f>
              <c:strCache>
                <c:ptCount val="3"/>
                <c:pt idx="0">
                  <c:v>Furniture</c:v>
                </c:pt>
                <c:pt idx="1">
                  <c:v>Office Supplies</c:v>
                </c:pt>
                <c:pt idx="2">
                  <c:v>Technology</c:v>
                </c:pt>
              </c:strCache>
            </c:strRef>
          </c:cat>
          <c:val>
            <c:numRef>
              <c:f>S20_Superstore_CaseStudy!$B$68:$B$71</c:f>
              <c:numCache>
                <c:formatCode>General</c:formatCode>
                <c:ptCount val="4"/>
                <c:pt idx="0">
                  <c:v>26058.910000000003</c:v>
                </c:pt>
                <c:pt idx="1">
                  <c:v>10351.359999999999</c:v>
                </c:pt>
                <c:pt idx="2">
                  <c:v>18885.660000000003</c:v>
                </c:pt>
              </c:numCache>
            </c:numRef>
          </c:val>
          <c:extLst>
            <c:ext xmlns:c16="http://schemas.microsoft.com/office/drawing/2014/chart" uri="{C3380CC4-5D6E-409C-BE32-E72D297353CC}">
              <c16:uniqueId val="{00000000-CE48-471A-84A3-F3831FCAA269}"/>
            </c:ext>
          </c:extLst>
        </c:ser>
        <c:dLbls>
          <c:showLegendKey val="0"/>
          <c:showVal val="0"/>
          <c:showCatName val="0"/>
          <c:showSerName val="0"/>
          <c:showPercent val="0"/>
          <c:showBubbleSize val="0"/>
        </c:dLbls>
        <c:gapWidth val="150"/>
        <c:axId val="85931737"/>
        <c:axId val="60950325"/>
      </c:barChart>
      <c:catAx>
        <c:axId val="8593173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950325"/>
        <c:crosses val="autoZero"/>
        <c:auto val="1"/>
        <c:lblAlgn val="ctr"/>
        <c:lblOffset val="100"/>
        <c:noMultiLvlLbl val="0"/>
      </c:catAx>
      <c:valAx>
        <c:axId val="60950325"/>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93173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Orders &amp; Delivery Charges by City</a:t>
            </a:r>
          </a:p>
        </c:rich>
      </c:tx>
      <c:layout/>
      <c:overlay val="0"/>
      <c:spPr>
        <a:noFill/>
        <a:ln w="0">
          <a:noFill/>
        </a:ln>
      </c:spPr>
    </c:title>
    <c:autoTitleDeleted val="0"/>
    <c:plotArea>
      <c:layout/>
      <c:barChart>
        <c:barDir val="col"/>
        <c:grouping val="clustered"/>
        <c:varyColors val="0"/>
        <c:ser>
          <c:idx val="0"/>
          <c:order val="0"/>
          <c:tx>
            <c:strRef>
              <c:f>S21_Integration_MiniDashboard!$B$95</c:f>
              <c:strCache>
                <c:ptCount val="1"/>
                <c:pt idx="0">
                  <c:v>Total Orders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S21_Integration_MiniDashboard!$A$96:$A$100</c:f>
              <c:strCache>
                <c:ptCount val="4"/>
                <c:pt idx="0">
                  <c:v>Ahmedabad</c:v>
                </c:pt>
                <c:pt idx="1">
                  <c:v>Surat</c:v>
                </c:pt>
                <c:pt idx="2">
                  <c:v>Vadodara</c:v>
                </c:pt>
                <c:pt idx="3">
                  <c:v>Rajkot</c:v>
                </c:pt>
              </c:strCache>
            </c:strRef>
          </c:cat>
          <c:val>
            <c:numRef>
              <c:f>S21_Integration_MiniDashboard!$B$96:$B$100</c:f>
              <c:numCache>
                <c:formatCode>General</c:formatCode>
                <c:ptCount val="5"/>
                <c:pt idx="0">
                  <c:v>9</c:v>
                </c:pt>
                <c:pt idx="1">
                  <c:v>13</c:v>
                </c:pt>
                <c:pt idx="2">
                  <c:v>5</c:v>
                </c:pt>
                <c:pt idx="3">
                  <c:v>8</c:v>
                </c:pt>
              </c:numCache>
            </c:numRef>
          </c:val>
          <c:extLst>
            <c:ext xmlns:c16="http://schemas.microsoft.com/office/drawing/2014/chart" uri="{C3380CC4-5D6E-409C-BE32-E72D297353CC}">
              <c16:uniqueId val="{00000000-61BC-4EA2-A760-7A5D4599E53C}"/>
            </c:ext>
          </c:extLst>
        </c:ser>
        <c:ser>
          <c:idx val="1"/>
          <c:order val="1"/>
          <c:tx>
            <c:strRef>
              <c:f>S21_Integration_MiniDashboard!$C$95</c:f>
              <c:strCache>
                <c:ptCount val="1"/>
                <c:pt idx="0">
                  <c:v>Total Delivery Charges</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S21_Integration_MiniDashboard!$A$96:$A$100</c:f>
              <c:strCache>
                <c:ptCount val="4"/>
                <c:pt idx="0">
                  <c:v>Ahmedabad</c:v>
                </c:pt>
                <c:pt idx="1">
                  <c:v>Surat</c:v>
                </c:pt>
                <c:pt idx="2">
                  <c:v>Vadodara</c:v>
                </c:pt>
                <c:pt idx="3">
                  <c:v>Rajkot</c:v>
                </c:pt>
              </c:strCache>
            </c:strRef>
          </c:cat>
          <c:val>
            <c:numRef>
              <c:f>S21_Integration_MiniDashboard!$C$96:$C$100</c:f>
              <c:numCache>
                <c:formatCode>General</c:formatCode>
                <c:ptCount val="5"/>
                <c:pt idx="0">
                  <c:v>375</c:v>
                </c:pt>
                <c:pt idx="1">
                  <c:v>712</c:v>
                </c:pt>
                <c:pt idx="2">
                  <c:v>278</c:v>
                </c:pt>
                <c:pt idx="3">
                  <c:v>457</c:v>
                </c:pt>
              </c:numCache>
            </c:numRef>
          </c:val>
          <c:extLst>
            <c:ext xmlns:c16="http://schemas.microsoft.com/office/drawing/2014/chart" uri="{C3380CC4-5D6E-409C-BE32-E72D297353CC}">
              <c16:uniqueId val="{00000001-61BC-4EA2-A760-7A5D4599E53C}"/>
            </c:ext>
          </c:extLst>
        </c:ser>
        <c:dLbls>
          <c:showLegendKey val="0"/>
          <c:showVal val="0"/>
          <c:showCatName val="0"/>
          <c:showSerName val="0"/>
          <c:showPercent val="0"/>
          <c:showBubbleSize val="0"/>
        </c:dLbls>
        <c:gapWidth val="150"/>
        <c:axId val="4364585"/>
        <c:axId val="74444424"/>
      </c:barChart>
      <c:catAx>
        <c:axId val="43645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444424"/>
        <c:crosses val="autoZero"/>
        <c:auto val="1"/>
        <c:lblAlgn val="ctr"/>
        <c:lblOffset val="100"/>
        <c:noMultiLvlLbl val="0"/>
      </c:catAx>
      <c:valAx>
        <c:axId val="7444442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64585"/>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47</xdr:row>
      <xdr:rowOff>160560</xdr:rowOff>
    </xdr:from>
    <xdr:to>
      <xdr:col>12</xdr:col>
      <xdr:colOff>69120</xdr:colOff>
      <xdr:row>64</xdr:row>
      <xdr:rowOff>162000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39</xdr:row>
      <xdr:rowOff>160560</xdr:rowOff>
    </xdr:from>
    <xdr:to>
      <xdr:col>8</xdr:col>
      <xdr:colOff>121320</xdr:colOff>
      <xdr:row>53</xdr:row>
      <xdr:rowOff>60840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64</xdr:row>
      <xdr:rowOff>200880</xdr:rowOff>
    </xdr:from>
    <xdr:to>
      <xdr:col>9</xdr:col>
      <xdr:colOff>513360</xdr:colOff>
      <xdr:row>80</xdr:row>
      <xdr:rowOff>2520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91</xdr:row>
      <xdr:rowOff>90360</xdr:rowOff>
    </xdr:from>
    <xdr:to>
      <xdr:col>9</xdr:col>
      <xdr:colOff>183960</xdr:colOff>
      <xdr:row>104</xdr:row>
      <xdr:rowOff>181800</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showGridLines="0" topLeftCell="A27" zoomScaleNormal="100" workbookViewId="0">
      <selection activeCell="D27" sqref="A25:D27"/>
    </sheetView>
  </sheetViews>
  <sheetFormatPr defaultColWidth="8.6328125" defaultRowHeight="14.5" x14ac:dyDescent="0.35"/>
  <cols>
    <col min="1" max="1" width="22" customWidth="1"/>
    <col min="2" max="7" width="16" customWidth="1"/>
  </cols>
  <sheetData>
    <row r="1" spans="1:6" ht="18" x14ac:dyDescent="0.4">
      <c r="A1" s="26" t="s">
        <v>0</v>
      </c>
      <c r="B1" s="26"/>
      <c r="C1" s="26"/>
      <c r="D1" s="26"/>
      <c r="E1" s="26"/>
      <c r="F1" s="26"/>
    </row>
    <row r="3" spans="1:6" x14ac:dyDescent="0.35">
      <c r="A3" s="24" t="s">
        <v>1</v>
      </c>
      <c r="B3" s="24"/>
      <c r="C3" s="24"/>
      <c r="D3" s="24"/>
      <c r="E3" s="24"/>
      <c r="F3" s="24"/>
    </row>
    <row r="4" spans="1:6" x14ac:dyDescent="0.35">
      <c r="A4" s="35" t="s">
        <v>2</v>
      </c>
      <c r="B4" s="36" t="s">
        <v>3</v>
      </c>
      <c r="C4" s="37"/>
      <c r="D4" s="37"/>
      <c r="E4" s="37"/>
      <c r="F4" s="38"/>
    </row>
    <row r="5" spans="1:6" x14ac:dyDescent="0.35">
      <c r="A5" s="39" t="s">
        <v>4</v>
      </c>
      <c r="B5" s="40" t="s">
        <v>5</v>
      </c>
      <c r="C5" s="41"/>
      <c r="D5" s="41"/>
      <c r="E5" s="41"/>
      <c r="F5" s="42"/>
    </row>
    <row r="6" spans="1:6" x14ac:dyDescent="0.35">
      <c r="A6" s="39" t="s">
        <v>6</v>
      </c>
      <c r="B6" s="40" t="s">
        <v>7</v>
      </c>
      <c r="C6" s="41"/>
      <c r="D6" s="41"/>
      <c r="E6" s="41"/>
      <c r="F6" s="42"/>
    </row>
    <row r="7" spans="1:6" x14ac:dyDescent="0.35">
      <c r="A7" s="39" t="s">
        <v>8</v>
      </c>
      <c r="B7" s="40" t="s">
        <v>9</v>
      </c>
      <c r="C7" s="41"/>
      <c r="D7" s="41"/>
      <c r="E7" s="41"/>
      <c r="F7" s="42"/>
    </row>
    <row r="9" spans="1:6" x14ac:dyDescent="0.35">
      <c r="A9" s="24" t="s">
        <v>10</v>
      </c>
      <c r="B9" s="24"/>
      <c r="C9" s="24"/>
      <c r="D9" s="24"/>
      <c r="E9" s="24"/>
      <c r="F9" s="24"/>
    </row>
    <row r="11" spans="1:6" x14ac:dyDescent="0.35">
      <c r="A11" s="24" t="s">
        <v>11</v>
      </c>
      <c r="B11" s="24"/>
      <c r="C11" s="24"/>
      <c r="D11" s="24"/>
      <c r="E11" s="24"/>
      <c r="F11" s="24"/>
    </row>
    <row r="12" spans="1:6" ht="28" x14ac:dyDescent="0.35">
      <c r="A12" s="1" t="s">
        <v>12</v>
      </c>
      <c r="B12" s="1" t="s">
        <v>13</v>
      </c>
      <c r="C12" s="1" t="s">
        <v>14</v>
      </c>
      <c r="D12" s="1" t="s">
        <v>15</v>
      </c>
      <c r="E12" s="1" t="s">
        <v>16</v>
      </c>
    </row>
    <row r="13" spans="1:6" x14ac:dyDescent="0.35">
      <c r="A13" s="2" t="s">
        <v>17</v>
      </c>
      <c r="B13" s="2" t="s">
        <v>18</v>
      </c>
      <c r="C13" s="2" t="s">
        <v>19</v>
      </c>
      <c r="D13" s="2">
        <v>233</v>
      </c>
      <c r="E13" s="3">
        <v>42741</v>
      </c>
    </row>
    <row r="14" spans="1:6" x14ac:dyDescent="0.35">
      <c r="A14" s="2" t="s">
        <v>20</v>
      </c>
      <c r="B14" s="2" t="s">
        <v>21</v>
      </c>
      <c r="C14" s="2" t="s">
        <v>22</v>
      </c>
      <c r="D14" s="2">
        <v>200</v>
      </c>
      <c r="E14" s="3">
        <v>43798</v>
      </c>
    </row>
    <row r="15" spans="1:6" x14ac:dyDescent="0.35">
      <c r="A15" s="2" t="s">
        <v>23</v>
      </c>
      <c r="B15" s="2" t="s">
        <v>24</v>
      </c>
      <c r="C15" s="2" t="s">
        <v>25</v>
      </c>
      <c r="D15" s="2">
        <v>268</v>
      </c>
      <c r="E15" s="3">
        <v>44759</v>
      </c>
    </row>
    <row r="16" spans="1:6" x14ac:dyDescent="0.35">
      <c r="A16" s="2" t="s">
        <v>26</v>
      </c>
      <c r="B16" s="2" t="s">
        <v>27</v>
      </c>
      <c r="C16" s="2" t="s">
        <v>28</v>
      </c>
      <c r="D16" s="2">
        <v>203</v>
      </c>
      <c r="E16" s="3">
        <v>44105</v>
      </c>
    </row>
    <row r="17" spans="1:7" x14ac:dyDescent="0.35">
      <c r="A17" s="2" t="s">
        <v>29</v>
      </c>
      <c r="B17" s="2" t="s">
        <v>24</v>
      </c>
      <c r="C17" s="2" t="s">
        <v>30</v>
      </c>
      <c r="D17" s="2">
        <v>239</v>
      </c>
      <c r="E17" s="3">
        <v>45023</v>
      </c>
    </row>
    <row r="19" spans="1:7" x14ac:dyDescent="0.35">
      <c r="A19" s="4" t="s">
        <v>31</v>
      </c>
      <c r="D19" s="4">
        <f>SUM(D13:D18)</f>
        <v>1143</v>
      </c>
    </row>
    <row r="20" spans="1:7" ht="27.75" customHeight="1" x14ac:dyDescent="0.35">
      <c r="A20" s="25" t="s">
        <v>32</v>
      </c>
      <c r="B20" s="25"/>
      <c r="C20" s="25"/>
      <c r="D20" s="25"/>
      <c r="E20" s="25"/>
      <c r="F20" s="25"/>
    </row>
    <row r="22" spans="1:7" x14ac:dyDescent="0.35">
      <c r="A22" s="24" t="s">
        <v>33</v>
      </c>
      <c r="B22" s="24"/>
      <c r="C22" s="24"/>
      <c r="D22" s="24"/>
      <c r="E22" s="24"/>
      <c r="F22" s="24"/>
    </row>
    <row r="23" spans="1:7" x14ac:dyDescent="0.35">
      <c r="A23" s="4" t="s">
        <v>34</v>
      </c>
      <c r="B23" s="5">
        <v>0.18</v>
      </c>
    </row>
    <row r="25" spans="1:7" ht="42" x14ac:dyDescent="0.35">
      <c r="A25" s="35" t="s">
        <v>35</v>
      </c>
      <c r="B25" s="35" t="s">
        <v>36</v>
      </c>
      <c r="C25" s="35" t="s">
        <v>37</v>
      </c>
      <c r="D25" s="35" t="s">
        <v>38</v>
      </c>
    </row>
    <row r="26" spans="1:7" x14ac:dyDescent="0.35">
      <c r="A26" s="34" t="s">
        <v>39</v>
      </c>
      <c r="B26" s="34">
        <v>799</v>
      </c>
      <c r="C26" s="34">
        <f>B26*B23</f>
        <v>143.82</v>
      </c>
      <c r="D26" s="34">
        <f>B26*$B$23</f>
        <v>143.82</v>
      </c>
    </row>
    <row r="27" spans="1:7" x14ac:dyDescent="0.35">
      <c r="A27" s="34" t="s">
        <v>40</v>
      </c>
      <c r="B27" s="34">
        <v>1499</v>
      </c>
      <c r="C27" s="34">
        <f>B27*B24</f>
        <v>0</v>
      </c>
      <c r="D27" s="34">
        <f>B27*$B$23</f>
        <v>269.82</v>
      </c>
    </row>
    <row r="28" spans="1:7" ht="27.75" customHeight="1" x14ac:dyDescent="0.35">
      <c r="A28" s="25" t="s">
        <v>41</v>
      </c>
      <c r="B28" s="25"/>
      <c r="C28" s="25"/>
      <c r="D28" s="25"/>
      <c r="E28" s="25"/>
      <c r="F28" s="25"/>
    </row>
    <row r="30" spans="1:7" x14ac:dyDescent="0.35">
      <c r="A30" s="24" t="s">
        <v>42</v>
      </c>
      <c r="B30" s="24"/>
      <c r="C30" s="24"/>
      <c r="D30" s="24"/>
      <c r="E30" s="24"/>
      <c r="F30" s="24"/>
    </row>
    <row r="31" spans="1:7" ht="42" x14ac:dyDescent="0.35">
      <c r="A31" s="1" t="s">
        <v>43</v>
      </c>
      <c r="B31" s="1" t="s">
        <v>44</v>
      </c>
      <c r="C31" s="1" t="s">
        <v>45</v>
      </c>
      <c r="D31" s="1" t="s">
        <v>46</v>
      </c>
      <c r="E31" s="1" t="s">
        <v>47</v>
      </c>
      <c r="F31" s="1" t="s">
        <v>48</v>
      </c>
      <c r="G31" s="1" t="s">
        <v>49</v>
      </c>
    </row>
    <row r="32" spans="1:7" x14ac:dyDescent="0.35">
      <c r="A32" s="2" t="s">
        <v>50</v>
      </c>
      <c r="B32" s="2" t="s">
        <v>51</v>
      </c>
      <c r="C32" s="6">
        <f>DATEVALUE(B32)</f>
        <v>45306</v>
      </c>
      <c r="D32" s="2" t="s">
        <v>52</v>
      </c>
      <c r="E32" s="7">
        <f>VALUE(D32)</f>
        <v>2499</v>
      </c>
      <c r="F32" s="2">
        <v>400001</v>
      </c>
      <c r="G32" s="2" t="s">
        <v>53</v>
      </c>
    </row>
    <row r="33" spans="1:7" x14ac:dyDescent="0.35">
      <c r="A33" s="2" t="s">
        <v>54</v>
      </c>
      <c r="B33" s="2" t="s">
        <v>55</v>
      </c>
      <c r="C33" s="6">
        <f>DATEVALUE(B33)</f>
        <v>45313</v>
      </c>
      <c r="D33" s="2" t="s">
        <v>56</v>
      </c>
      <c r="E33" s="7">
        <f>VALUE(D33)</f>
        <v>899</v>
      </c>
      <c r="F33" s="2">
        <v>380015</v>
      </c>
      <c r="G33" s="2" t="s">
        <v>57</v>
      </c>
    </row>
    <row r="34" spans="1:7" x14ac:dyDescent="0.35">
      <c r="A34" s="2" t="s">
        <v>58</v>
      </c>
      <c r="B34" s="2" t="s">
        <v>59</v>
      </c>
      <c r="C34" s="6">
        <f>DATEVALUE(B34)</f>
        <v>45325</v>
      </c>
      <c r="D34" s="2" t="s">
        <v>60</v>
      </c>
      <c r="E34" s="7">
        <f>VALUE(D34)</f>
        <v>15999</v>
      </c>
      <c r="F34" s="2">
        <v>110001</v>
      </c>
      <c r="G34" s="2" t="s">
        <v>61</v>
      </c>
    </row>
    <row r="36" spans="1:7" ht="27.75" customHeight="1" x14ac:dyDescent="0.35">
      <c r="A36" s="25" t="s">
        <v>62</v>
      </c>
      <c r="B36" s="25"/>
      <c r="C36" s="25"/>
      <c r="D36" s="25"/>
      <c r="E36" s="25"/>
      <c r="F36" s="25"/>
      <c r="G36" s="25"/>
    </row>
  </sheetData>
  <mergeCells count="13">
    <mergeCell ref="A22:F22"/>
    <mergeCell ref="A28:F28"/>
    <mergeCell ref="A30:F30"/>
    <mergeCell ref="A36:G36"/>
    <mergeCell ref="A1:F1"/>
    <mergeCell ref="A3:F3"/>
    <mergeCell ref="A9:F9"/>
    <mergeCell ref="A11:F11"/>
    <mergeCell ref="A20:F20"/>
    <mergeCell ref="B4:F4"/>
    <mergeCell ref="B7:F7"/>
    <mergeCell ref="B6:F6"/>
    <mergeCell ref="B5:F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showGridLines="0" topLeftCell="A8" zoomScaleNormal="100" workbookViewId="0">
      <selection sqref="A1:F1"/>
    </sheetView>
  </sheetViews>
  <sheetFormatPr defaultColWidth="8.6328125" defaultRowHeight="14.5" x14ac:dyDescent="0.35"/>
  <cols>
    <col min="1" max="1" width="24" customWidth="1"/>
    <col min="2" max="2" width="16" customWidth="1"/>
    <col min="3" max="3" width="34" customWidth="1"/>
    <col min="4" max="4" width="16" customWidth="1"/>
  </cols>
  <sheetData>
    <row r="1" spans="1:6" ht="18" x14ac:dyDescent="0.4">
      <c r="A1" s="26" t="s">
        <v>63</v>
      </c>
      <c r="B1" s="26"/>
      <c r="C1" s="26"/>
      <c r="D1" s="26"/>
      <c r="E1" s="26"/>
      <c r="F1" s="26"/>
    </row>
    <row r="3" spans="1:6" x14ac:dyDescent="0.35">
      <c r="A3" s="24" t="s">
        <v>64</v>
      </c>
      <c r="B3" s="24"/>
      <c r="C3" s="24"/>
      <c r="D3" s="24"/>
      <c r="E3" s="24"/>
      <c r="F3" s="24"/>
    </row>
    <row r="4" spans="1:6" x14ac:dyDescent="0.35">
      <c r="A4" s="4" t="s">
        <v>65</v>
      </c>
      <c r="B4" s="4">
        <v>5</v>
      </c>
    </row>
    <row r="6" spans="1:6" x14ac:dyDescent="0.35">
      <c r="A6" s="1" t="s">
        <v>66</v>
      </c>
      <c r="B6" s="1" t="s">
        <v>67</v>
      </c>
      <c r="C6" s="1" t="s">
        <v>68</v>
      </c>
    </row>
    <row r="7" spans="1:6" x14ac:dyDescent="0.35">
      <c r="A7" s="2" t="s">
        <v>69</v>
      </c>
      <c r="B7" s="2">
        <v>4.2</v>
      </c>
      <c r="C7" s="8">
        <f>B7/$B$4</f>
        <v>0.84000000000000008</v>
      </c>
    </row>
    <row r="8" spans="1:6" x14ac:dyDescent="0.35">
      <c r="A8" s="2" t="s">
        <v>70</v>
      </c>
      <c r="B8" s="2">
        <v>4.3</v>
      </c>
      <c r="C8" s="8">
        <f>B8/$B$4</f>
        <v>0.86</v>
      </c>
    </row>
    <row r="9" spans="1:6" x14ac:dyDescent="0.35">
      <c r="A9" s="2" t="s">
        <v>71</v>
      </c>
      <c r="B9" s="2">
        <v>3.9</v>
      </c>
      <c r="C9" s="8">
        <f>B9/$B$4</f>
        <v>0.78</v>
      </c>
    </row>
    <row r="10" spans="1:6" x14ac:dyDescent="0.35">
      <c r="A10" s="2" t="s">
        <v>72</v>
      </c>
      <c r="B10" s="2">
        <v>4.0999999999999996</v>
      </c>
      <c r="C10" s="8">
        <f>B10/$B$4</f>
        <v>0.82</v>
      </c>
    </row>
    <row r="11" spans="1:6" x14ac:dyDescent="0.35">
      <c r="A11" s="2" t="s">
        <v>73</v>
      </c>
      <c r="B11" s="2">
        <v>3.7</v>
      </c>
      <c r="C11" s="8">
        <f>B11/$B$4</f>
        <v>0.74</v>
      </c>
    </row>
    <row r="14" spans="1:6" x14ac:dyDescent="0.35">
      <c r="A14" s="24" t="s">
        <v>74</v>
      </c>
      <c r="B14" s="24"/>
      <c r="C14" s="24"/>
      <c r="D14" s="24"/>
      <c r="E14" s="24"/>
      <c r="F14" s="24"/>
    </row>
    <row r="15" spans="1:6" x14ac:dyDescent="0.35">
      <c r="A15" s="4" t="s">
        <v>75</v>
      </c>
      <c r="B15" s="4">
        <v>250</v>
      </c>
    </row>
    <row r="17" spans="1:6" ht="28" x14ac:dyDescent="0.35">
      <c r="A17" s="1" t="s">
        <v>76</v>
      </c>
      <c r="B17" s="1" t="s">
        <v>77</v>
      </c>
      <c r="C17" s="1" t="s">
        <v>78</v>
      </c>
    </row>
    <row r="18" spans="1:6" x14ac:dyDescent="0.35">
      <c r="A18" s="2" t="s">
        <v>79</v>
      </c>
      <c r="B18" s="2">
        <v>132</v>
      </c>
      <c r="C18" s="2">
        <f t="shared" ref="C18:C23" si="0">B18*B$15</f>
        <v>33000</v>
      </c>
    </row>
    <row r="19" spans="1:6" x14ac:dyDescent="0.35">
      <c r="A19" s="2" t="s">
        <v>80</v>
      </c>
      <c r="B19" s="2">
        <v>138</v>
      </c>
      <c r="C19" s="2">
        <f t="shared" si="0"/>
        <v>34500</v>
      </c>
    </row>
    <row r="20" spans="1:6" x14ac:dyDescent="0.35">
      <c r="A20" s="2" t="s">
        <v>81</v>
      </c>
      <c r="B20" s="2">
        <v>41</v>
      </c>
      <c r="C20" s="2">
        <f t="shared" si="0"/>
        <v>10250</v>
      </c>
    </row>
    <row r="21" spans="1:6" x14ac:dyDescent="0.35">
      <c r="A21" s="2" t="s">
        <v>82</v>
      </c>
      <c r="B21" s="2">
        <v>118</v>
      </c>
      <c r="C21" s="2">
        <f t="shared" si="0"/>
        <v>29500</v>
      </c>
    </row>
    <row r="22" spans="1:6" x14ac:dyDescent="0.35">
      <c r="A22" s="2" t="s">
        <v>83</v>
      </c>
      <c r="B22" s="2">
        <v>112</v>
      </c>
      <c r="C22" s="2">
        <f t="shared" si="0"/>
        <v>28000</v>
      </c>
    </row>
    <row r="23" spans="1:6" x14ac:dyDescent="0.35">
      <c r="A23" s="2" t="s">
        <v>84</v>
      </c>
      <c r="B23" s="2">
        <v>30</v>
      </c>
      <c r="C23" s="2">
        <f t="shared" si="0"/>
        <v>7500</v>
      </c>
    </row>
    <row r="24" spans="1:6" ht="27.75" customHeight="1" x14ac:dyDescent="0.35">
      <c r="A24" s="25" t="s">
        <v>85</v>
      </c>
      <c r="B24" s="25"/>
      <c r="C24" s="25"/>
      <c r="D24" s="25"/>
      <c r="E24" s="25"/>
      <c r="F24" s="25"/>
    </row>
    <row r="26" spans="1:6" x14ac:dyDescent="0.35">
      <c r="A26" s="24" t="s">
        <v>86</v>
      </c>
      <c r="B26" s="24"/>
      <c r="C26" s="24"/>
      <c r="D26" s="24"/>
      <c r="E26" s="24"/>
      <c r="F26" s="24"/>
    </row>
    <row r="27" spans="1:6" x14ac:dyDescent="0.35">
      <c r="A27" s="4" t="s">
        <v>24</v>
      </c>
      <c r="C27" s="4" t="s">
        <v>87</v>
      </c>
      <c r="D27" s="4">
        <f>COUNTA(TopArtists)</f>
        <v>5</v>
      </c>
    </row>
    <row r="28" spans="1:6" x14ac:dyDescent="0.35">
      <c r="A28" s="4" t="s">
        <v>88</v>
      </c>
    </row>
    <row r="29" spans="1:6" x14ac:dyDescent="0.35">
      <c r="A29" s="4" t="s">
        <v>21</v>
      </c>
    </row>
    <row r="30" spans="1:6" x14ac:dyDescent="0.35">
      <c r="A30" s="4" t="s">
        <v>27</v>
      </c>
    </row>
    <row r="31" spans="1:6" x14ac:dyDescent="0.35">
      <c r="A31" s="4" t="s">
        <v>18</v>
      </c>
    </row>
    <row r="34" spans="1:6" x14ac:dyDescent="0.35">
      <c r="A34" s="24" t="s">
        <v>89</v>
      </c>
      <c r="B34" s="24"/>
      <c r="C34" s="24"/>
      <c r="D34" s="24"/>
      <c r="E34" s="24"/>
      <c r="F34" s="24"/>
    </row>
    <row r="35" spans="1:6" ht="28" x14ac:dyDescent="0.35">
      <c r="A35" s="1" t="s">
        <v>90</v>
      </c>
      <c r="B35" s="1" t="s">
        <v>91</v>
      </c>
    </row>
    <row r="36" spans="1:6" x14ac:dyDescent="0.35">
      <c r="A36" s="2" t="s">
        <v>92</v>
      </c>
      <c r="B36" s="2"/>
    </row>
    <row r="37" spans="1:6" x14ac:dyDescent="0.35">
      <c r="A37" s="2" t="s">
        <v>93</v>
      </c>
      <c r="B37" s="2"/>
    </row>
    <row r="38" spans="1:6" x14ac:dyDescent="0.35">
      <c r="A38" s="2" t="s">
        <v>94</v>
      </c>
      <c r="B38" s="2"/>
    </row>
    <row r="39" spans="1:6" x14ac:dyDescent="0.35">
      <c r="A39" s="2" t="s">
        <v>95</v>
      </c>
      <c r="B39" s="2"/>
    </row>
    <row r="40" spans="1:6" x14ac:dyDescent="0.35">
      <c r="A40" s="2" t="s">
        <v>96</v>
      </c>
      <c r="B40" s="2"/>
    </row>
    <row r="43" spans="1:6" x14ac:dyDescent="0.35">
      <c r="A43" s="24" t="s">
        <v>97</v>
      </c>
      <c r="B43" s="24"/>
      <c r="C43" s="24"/>
      <c r="D43" s="24"/>
      <c r="E43" s="24"/>
      <c r="F43" s="24"/>
    </row>
    <row r="44" spans="1:6" x14ac:dyDescent="0.35">
      <c r="A44" s="9" t="s">
        <v>98</v>
      </c>
      <c r="C44" s="9" t="s">
        <v>99</v>
      </c>
    </row>
    <row r="45" spans="1:6" x14ac:dyDescent="0.35">
      <c r="A45" s="4" t="s">
        <v>100</v>
      </c>
    </row>
    <row r="46" spans="1:6" x14ac:dyDescent="0.35">
      <c r="A46" s="4" t="s">
        <v>101</v>
      </c>
    </row>
    <row r="47" spans="1:6" x14ac:dyDescent="0.35">
      <c r="A47" s="4" t="s">
        <v>102</v>
      </c>
    </row>
    <row r="48" spans="1:6" x14ac:dyDescent="0.35">
      <c r="A48" s="4" t="s">
        <v>103</v>
      </c>
    </row>
    <row r="50" spans="1:6" ht="27.75" customHeight="1" x14ac:dyDescent="0.35">
      <c r="A50" s="25" t="s">
        <v>104</v>
      </c>
      <c r="B50" s="25"/>
      <c r="C50" s="25"/>
      <c r="D50" s="25"/>
      <c r="E50" s="25"/>
      <c r="F50" s="25"/>
    </row>
  </sheetData>
  <mergeCells count="8">
    <mergeCell ref="A34:F34"/>
    <mergeCell ref="A43:F43"/>
    <mergeCell ref="A50:F50"/>
    <mergeCell ref="A1:F1"/>
    <mergeCell ref="A3:F3"/>
    <mergeCell ref="A14:F14"/>
    <mergeCell ref="A24:F24"/>
    <mergeCell ref="A26:F26"/>
  </mergeCells>
  <dataValidations count="2">
    <dataValidation type="list" allowBlank="1" sqref="B36:B41">
      <formula1>"UPI,Credit Card,Debit Card,Wallet,Net Banking"</formula1>
      <formula2>0</formula2>
    </dataValidation>
    <dataValidation type="list" allowBlank="1" sqref="C45:C48">
      <formula1>RecentMovies</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Views>
    <sheetView showGridLines="0" zoomScaleNormal="100" workbookViewId="0"/>
  </sheetViews>
  <sheetFormatPr defaultColWidth="8.6328125" defaultRowHeight="14.5" x14ac:dyDescent="0.35"/>
  <cols>
    <col min="1" max="1" width="14" customWidth="1"/>
    <col min="2" max="2" width="12" customWidth="1"/>
    <col min="3" max="3" width="10" customWidth="1"/>
  </cols>
  <sheetData>
    <row r="1" spans="1:6" ht="18" x14ac:dyDescent="0.4">
      <c r="A1" s="26" t="s">
        <v>105</v>
      </c>
      <c r="B1" s="26"/>
      <c r="C1" s="26"/>
      <c r="D1" s="26"/>
      <c r="E1" s="26"/>
      <c r="F1" s="26"/>
    </row>
    <row r="3" spans="1:6" x14ac:dyDescent="0.35">
      <c r="A3" s="24" t="s">
        <v>106</v>
      </c>
      <c r="B3" s="24"/>
      <c r="C3" s="24"/>
      <c r="D3" s="24"/>
      <c r="E3" s="24"/>
      <c r="F3" s="24"/>
    </row>
    <row r="5" spans="1:6" x14ac:dyDescent="0.35">
      <c r="A5" s="1" t="s">
        <v>107</v>
      </c>
      <c r="B5" s="1" t="s">
        <v>108</v>
      </c>
      <c r="C5" s="1" t="s">
        <v>109</v>
      </c>
    </row>
    <row r="6" spans="1:6" x14ac:dyDescent="0.35">
      <c r="A6" s="2" t="s">
        <v>110</v>
      </c>
      <c r="B6" s="2" t="s">
        <v>111</v>
      </c>
      <c r="C6" s="2">
        <v>3100</v>
      </c>
    </row>
    <row r="7" spans="1:6" x14ac:dyDescent="0.35">
      <c r="A7" s="2" t="s">
        <v>110</v>
      </c>
      <c r="B7" s="2" t="s">
        <v>112</v>
      </c>
      <c r="C7" s="2">
        <v>4100</v>
      </c>
    </row>
    <row r="8" spans="1:6" x14ac:dyDescent="0.35">
      <c r="A8" s="2" t="s">
        <v>113</v>
      </c>
      <c r="B8" s="2" t="s">
        <v>112</v>
      </c>
      <c r="C8" s="2">
        <v>4700</v>
      </c>
    </row>
    <row r="9" spans="1:6" x14ac:dyDescent="0.35">
      <c r="A9" s="2" t="s">
        <v>113</v>
      </c>
      <c r="B9" s="2" t="s">
        <v>111</v>
      </c>
      <c r="C9" s="2">
        <v>5300</v>
      </c>
    </row>
    <row r="10" spans="1:6" x14ac:dyDescent="0.35">
      <c r="A10" s="2" t="s">
        <v>110</v>
      </c>
      <c r="B10" s="2" t="s">
        <v>114</v>
      </c>
      <c r="C10" s="2">
        <v>5900</v>
      </c>
    </row>
    <row r="11" spans="1:6" x14ac:dyDescent="0.35">
      <c r="A11" s="2" t="s">
        <v>113</v>
      </c>
      <c r="B11" s="2" t="s">
        <v>114</v>
      </c>
      <c r="C11" s="2">
        <v>6200</v>
      </c>
    </row>
    <row r="12" spans="1:6" x14ac:dyDescent="0.35">
      <c r="A12" s="2" t="s">
        <v>115</v>
      </c>
      <c r="B12" s="2" t="s">
        <v>111</v>
      </c>
      <c r="C12" s="2">
        <v>6600</v>
      </c>
    </row>
    <row r="13" spans="1:6" x14ac:dyDescent="0.35">
      <c r="A13" s="2" t="s">
        <v>115</v>
      </c>
      <c r="B13" s="2" t="s">
        <v>112</v>
      </c>
      <c r="C13" s="2">
        <v>7200</v>
      </c>
    </row>
    <row r="14" spans="1:6" x14ac:dyDescent="0.35">
      <c r="A14" s="2" t="s">
        <v>116</v>
      </c>
      <c r="B14" s="2" t="s">
        <v>114</v>
      </c>
      <c r="C14" s="2">
        <v>8600</v>
      </c>
    </row>
    <row r="15" spans="1:6" x14ac:dyDescent="0.35">
      <c r="A15" s="2" t="s">
        <v>116</v>
      </c>
      <c r="B15" s="2" t="s">
        <v>112</v>
      </c>
      <c r="C15" s="2">
        <v>8900</v>
      </c>
    </row>
    <row r="16" spans="1:6" x14ac:dyDescent="0.35">
      <c r="A16" s="2" t="s">
        <v>115</v>
      </c>
      <c r="B16" s="2" t="s">
        <v>114</v>
      </c>
      <c r="C16" s="2">
        <v>9100</v>
      </c>
    </row>
    <row r="17" spans="1:6" x14ac:dyDescent="0.35">
      <c r="A17" s="2" t="s">
        <v>116</v>
      </c>
      <c r="B17" s="2" t="s">
        <v>111</v>
      </c>
      <c r="C17" s="2">
        <v>9600</v>
      </c>
    </row>
    <row r="19" spans="1:6" x14ac:dyDescent="0.35">
      <c r="A19" s="24" t="s">
        <v>117</v>
      </c>
      <c r="B19" s="24"/>
      <c r="C19" s="24"/>
      <c r="D19" s="24"/>
      <c r="E19" s="24"/>
      <c r="F19" s="24"/>
    </row>
    <row r="20" spans="1:6" x14ac:dyDescent="0.35">
      <c r="A20" s="1" t="s">
        <v>107</v>
      </c>
      <c r="B20" s="1" t="s">
        <v>108</v>
      </c>
      <c r="C20" s="1" t="s">
        <v>109</v>
      </c>
    </row>
    <row r="21" spans="1:6" x14ac:dyDescent="0.35">
      <c r="A21" s="2" t="s">
        <v>113</v>
      </c>
      <c r="B21" s="2" t="s">
        <v>112</v>
      </c>
      <c r="C21" s="2">
        <v>4700</v>
      </c>
    </row>
    <row r="22" spans="1:6" x14ac:dyDescent="0.35">
      <c r="A22" s="2" t="s">
        <v>113</v>
      </c>
      <c r="B22" s="2" t="s">
        <v>111</v>
      </c>
      <c r="C22" s="2">
        <v>5300</v>
      </c>
    </row>
    <row r="23" spans="1:6" x14ac:dyDescent="0.35">
      <c r="A23" s="2" t="s">
        <v>113</v>
      </c>
      <c r="B23" s="2" t="s">
        <v>114</v>
      </c>
      <c r="C23" s="2">
        <v>6200</v>
      </c>
    </row>
    <row r="24" spans="1:6" x14ac:dyDescent="0.35">
      <c r="A24" s="2" t="s">
        <v>110</v>
      </c>
      <c r="B24" s="2" t="s">
        <v>112</v>
      </c>
      <c r="C24" s="2">
        <v>4100</v>
      </c>
    </row>
    <row r="25" spans="1:6" x14ac:dyDescent="0.35">
      <c r="A25" s="2" t="s">
        <v>110</v>
      </c>
      <c r="B25" s="2" t="s">
        <v>111</v>
      </c>
      <c r="C25" s="2">
        <v>3100</v>
      </c>
    </row>
    <row r="26" spans="1:6" x14ac:dyDescent="0.35">
      <c r="A26" s="2" t="s">
        <v>110</v>
      </c>
      <c r="B26" s="2" t="s">
        <v>114</v>
      </c>
      <c r="C26" s="2">
        <v>5900</v>
      </c>
    </row>
    <row r="27" spans="1:6" x14ac:dyDescent="0.35">
      <c r="A27" s="2" t="s">
        <v>115</v>
      </c>
      <c r="B27" s="2" t="s">
        <v>112</v>
      </c>
      <c r="C27" s="2">
        <v>7200</v>
      </c>
    </row>
    <row r="28" spans="1:6" x14ac:dyDescent="0.35">
      <c r="A28" s="2" t="s">
        <v>115</v>
      </c>
      <c r="B28" s="2" t="s">
        <v>111</v>
      </c>
      <c r="C28" s="2">
        <v>6600</v>
      </c>
    </row>
    <row r="29" spans="1:6" x14ac:dyDescent="0.35">
      <c r="A29" s="2" t="s">
        <v>115</v>
      </c>
      <c r="B29" s="2" t="s">
        <v>114</v>
      </c>
      <c r="C29" s="2">
        <v>9100</v>
      </c>
    </row>
    <row r="30" spans="1:6" x14ac:dyDescent="0.35">
      <c r="A30" s="2" t="s">
        <v>116</v>
      </c>
      <c r="B30" s="2" t="s">
        <v>112</v>
      </c>
      <c r="C30" s="2">
        <v>8900</v>
      </c>
    </row>
    <row r="31" spans="1:6" x14ac:dyDescent="0.35">
      <c r="A31" s="2" t="s">
        <v>116</v>
      </c>
      <c r="B31" s="2" t="s">
        <v>111</v>
      </c>
      <c r="C31" s="2">
        <v>9600</v>
      </c>
    </row>
    <row r="32" spans="1:6" x14ac:dyDescent="0.35">
      <c r="A32" s="2" t="s">
        <v>116</v>
      </c>
      <c r="B32" s="2" t="s">
        <v>114</v>
      </c>
      <c r="C32" s="2">
        <v>8600</v>
      </c>
    </row>
    <row r="35" spans="1:6" x14ac:dyDescent="0.35">
      <c r="A35" s="24" t="s">
        <v>118</v>
      </c>
      <c r="B35" s="24"/>
      <c r="C35" s="24"/>
      <c r="D35" s="24"/>
      <c r="E35" s="24"/>
      <c r="F35" s="24"/>
    </row>
    <row r="36" spans="1:6" x14ac:dyDescent="0.35">
      <c r="A36" s="1" t="s">
        <v>107</v>
      </c>
      <c r="B36" s="1" t="s">
        <v>108</v>
      </c>
      <c r="C36" s="1" t="s">
        <v>109</v>
      </c>
    </row>
    <row r="37" spans="1:6" x14ac:dyDescent="0.35">
      <c r="A37" s="2" t="s">
        <v>113</v>
      </c>
      <c r="B37" s="2" t="s">
        <v>114</v>
      </c>
      <c r="C37" s="2">
        <v>6200</v>
      </c>
    </row>
    <row r="38" spans="1:6" x14ac:dyDescent="0.35">
      <c r="A38" s="2" t="s">
        <v>116</v>
      </c>
      <c r="B38" s="2" t="s">
        <v>112</v>
      </c>
      <c r="C38" s="2">
        <v>8900</v>
      </c>
    </row>
    <row r="39" spans="1:6" x14ac:dyDescent="0.35">
      <c r="A39" s="2" t="s">
        <v>113</v>
      </c>
      <c r="B39" s="2" t="s">
        <v>112</v>
      </c>
      <c r="C39" s="2">
        <v>4700</v>
      </c>
    </row>
    <row r="40" spans="1:6" x14ac:dyDescent="0.35">
      <c r="A40" s="2" t="s">
        <v>115</v>
      </c>
      <c r="B40" s="2" t="s">
        <v>114</v>
      </c>
      <c r="C40" s="2">
        <v>9100</v>
      </c>
    </row>
    <row r="41" spans="1:6" x14ac:dyDescent="0.35">
      <c r="A41" s="2" t="s">
        <v>110</v>
      </c>
      <c r="B41" s="2" t="s">
        <v>111</v>
      </c>
      <c r="C41" s="2">
        <v>3100</v>
      </c>
    </row>
    <row r="42" spans="1:6" x14ac:dyDescent="0.35">
      <c r="A42" s="2" t="s">
        <v>116</v>
      </c>
      <c r="B42" s="2" t="s">
        <v>114</v>
      </c>
      <c r="C42" s="2">
        <v>8600</v>
      </c>
    </row>
    <row r="43" spans="1:6" x14ac:dyDescent="0.35">
      <c r="A43" s="2" t="s">
        <v>113</v>
      </c>
      <c r="B43" s="2" t="s">
        <v>111</v>
      </c>
      <c r="C43" s="2">
        <v>5300</v>
      </c>
    </row>
    <row r="44" spans="1:6" x14ac:dyDescent="0.35">
      <c r="A44" s="2" t="s">
        <v>115</v>
      </c>
      <c r="B44" s="2" t="s">
        <v>112</v>
      </c>
      <c r="C44" s="2">
        <v>7200</v>
      </c>
    </row>
    <row r="45" spans="1:6" x14ac:dyDescent="0.35">
      <c r="A45" s="2" t="s">
        <v>110</v>
      </c>
      <c r="B45" s="2" t="s">
        <v>112</v>
      </c>
      <c r="C45" s="2">
        <v>4100</v>
      </c>
    </row>
    <row r="46" spans="1:6" x14ac:dyDescent="0.35">
      <c r="A46" s="2" t="s">
        <v>116</v>
      </c>
      <c r="B46" s="2" t="s">
        <v>111</v>
      </c>
      <c r="C46" s="2">
        <v>9600</v>
      </c>
    </row>
    <row r="47" spans="1:6" x14ac:dyDescent="0.35">
      <c r="A47" s="2" t="s">
        <v>115</v>
      </c>
      <c r="B47" s="2" t="s">
        <v>111</v>
      </c>
      <c r="C47" s="2">
        <v>6600</v>
      </c>
    </row>
    <row r="48" spans="1:6" x14ac:dyDescent="0.35">
      <c r="A48" s="2" t="s">
        <v>110</v>
      </c>
      <c r="B48" s="2" t="s">
        <v>114</v>
      </c>
      <c r="C48" s="2">
        <v>5900</v>
      </c>
    </row>
    <row r="50" spans="1:6" ht="27.75" customHeight="1" x14ac:dyDescent="0.35">
      <c r="A50" s="25" t="s">
        <v>119</v>
      </c>
      <c r="B50" s="25"/>
      <c r="C50" s="25"/>
      <c r="D50" s="25"/>
    </row>
    <row r="52" spans="1:6" x14ac:dyDescent="0.35">
      <c r="A52" s="24" t="s">
        <v>120</v>
      </c>
      <c r="B52" s="24"/>
      <c r="C52" s="24"/>
      <c r="D52" s="24"/>
      <c r="E52" s="24"/>
      <c r="F52" s="24"/>
    </row>
    <row r="53" spans="1:6" x14ac:dyDescent="0.35">
      <c r="A53" s="1" t="s">
        <v>107</v>
      </c>
      <c r="B53" s="1" t="s">
        <v>109</v>
      </c>
    </row>
    <row r="54" spans="1:6" x14ac:dyDescent="0.35">
      <c r="A54" s="2" t="s">
        <v>116</v>
      </c>
      <c r="B54" s="2" t="s">
        <v>121</v>
      </c>
    </row>
    <row r="56" spans="1:6" x14ac:dyDescent="0.35">
      <c r="A56" s="1" t="s">
        <v>107</v>
      </c>
      <c r="B56" s="1" t="s">
        <v>108</v>
      </c>
      <c r="C56" s="1" t="s">
        <v>109</v>
      </c>
    </row>
    <row r="57" spans="1:6" x14ac:dyDescent="0.35">
      <c r="A57" s="2" t="s">
        <v>116</v>
      </c>
      <c r="B57" s="2" t="s">
        <v>112</v>
      </c>
      <c r="C57" s="2">
        <v>8900</v>
      </c>
    </row>
    <row r="58" spans="1:6" x14ac:dyDescent="0.35">
      <c r="A58" s="2" t="s">
        <v>116</v>
      </c>
      <c r="B58" s="2" t="s">
        <v>114</v>
      </c>
      <c r="C58" s="2">
        <v>8600</v>
      </c>
    </row>
    <row r="59" spans="1:6" x14ac:dyDescent="0.35">
      <c r="A59" s="2" t="s">
        <v>116</v>
      </c>
      <c r="B59" s="2" t="s">
        <v>111</v>
      </c>
      <c r="C59" s="2">
        <v>9600</v>
      </c>
    </row>
    <row r="60" spans="1:6" ht="27.75" customHeight="1" x14ac:dyDescent="0.35">
      <c r="A60" s="25" t="s">
        <v>122</v>
      </c>
      <c r="B60" s="25"/>
      <c r="C60" s="25"/>
      <c r="D60" s="25"/>
    </row>
    <row r="62" spans="1:6" x14ac:dyDescent="0.35">
      <c r="A62" s="24" t="s">
        <v>123</v>
      </c>
      <c r="B62" s="24"/>
      <c r="C62" s="24"/>
      <c r="D62" s="24"/>
      <c r="E62" s="24"/>
      <c r="F62" s="24"/>
    </row>
    <row r="63" spans="1:6" x14ac:dyDescent="0.35">
      <c r="A63" s="1" t="s">
        <v>43</v>
      </c>
      <c r="B63" s="1" t="s">
        <v>108</v>
      </c>
      <c r="C63" s="1" t="s">
        <v>124</v>
      </c>
    </row>
    <row r="64" spans="1:6" x14ac:dyDescent="0.35">
      <c r="A64" s="2" t="s">
        <v>125</v>
      </c>
      <c r="B64" s="2" t="s">
        <v>114</v>
      </c>
      <c r="C64" s="2">
        <v>450</v>
      </c>
    </row>
    <row r="65" spans="1:6" x14ac:dyDescent="0.35">
      <c r="A65" s="2"/>
      <c r="B65" s="2"/>
      <c r="C65" s="2"/>
    </row>
    <row r="66" spans="1:6" x14ac:dyDescent="0.35">
      <c r="A66" s="2" t="s">
        <v>126</v>
      </c>
      <c r="B66" s="2" t="s">
        <v>112</v>
      </c>
      <c r="C66" s="2">
        <v>620</v>
      </c>
    </row>
    <row r="67" spans="1:6" x14ac:dyDescent="0.35">
      <c r="A67" s="2" t="s">
        <v>127</v>
      </c>
      <c r="B67" s="2" t="s">
        <v>111</v>
      </c>
      <c r="C67" s="2">
        <v>380</v>
      </c>
    </row>
    <row r="68" spans="1:6" x14ac:dyDescent="0.35">
      <c r="A68" s="2"/>
      <c r="B68" s="2"/>
      <c r="C68" s="2"/>
    </row>
    <row r="69" spans="1:6" x14ac:dyDescent="0.35">
      <c r="A69" s="2" t="s">
        <v>128</v>
      </c>
      <c r="B69" s="2" t="s">
        <v>112</v>
      </c>
      <c r="C69" s="2">
        <v>710</v>
      </c>
    </row>
    <row r="70" spans="1:6" x14ac:dyDescent="0.35">
      <c r="A70" s="24" t="s">
        <v>129</v>
      </c>
      <c r="B70" s="24"/>
      <c r="C70" s="24"/>
      <c r="D70" s="24"/>
      <c r="E70" s="24"/>
      <c r="F70" s="24"/>
    </row>
    <row r="71" spans="1:6" x14ac:dyDescent="0.35">
      <c r="A71" s="1" t="s">
        <v>43</v>
      </c>
      <c r="B71" s="1" t="s">
        <v>108</v>
      </c>
      <c r="C71" s="1" t="s">
        <v>124</v>
      </c>
    </row>
    <row r="72" spans="1:6" x14ac:dyDescent="0.35">
      <c r="A72" s="2" t="s">
        <v>125</v>
      </c>
      <c r="B72" s="2" t="s">
        <v>114</v>
      </c>
      <c r="C72" s="2">
        <v>450</v>
      </c>
    </row>
    <row r="73" spans="1:6" x14ac:dyDescent="0.35">
      <c r="A73" s="2" t="s">
        <v>126</v>
      </c>
      <c r="B73" s="2" t="s">
        <v>112</v>
      </c>
      <c r="C73" s="2">
        <v>620</v>
      </c>
    </row>
    <row r="74" spans="1:6" x14ac:dyDescent="0.35">
      <c r="A74" s="2" t="s">
        <v>127</v>
      </c>
      <c r="B74" s="2" t="s">
        <v>111</v>
      </c>
      <c r="C74" s="2">
        <v>380</v>
      </c>
    </row>
    <row r="75" spans="1:6" x14ac:dyDescent="0.35">
      <c r="A75" s="2" t="s">
        <v>128</v>
      </c>
      <c r="B75" s="2" t="s">
        <v>112</v>
      </c>
      <c r="C75" s="2">
        <v>710</v>
      </c>
    </row>
  </sheetData>
  <autoFilter ref="A36:C49"/>
  <mergeCells count="9">
    <mergeCell ref="A52:F52"/>
    <mergeCell ref="A60:D60"/>
    <mergeCell ref="A62:F62"/>
    <mergeCell ref="A70:F70"/>
    <mergeCell ref="A1:F1"/>
    <mergeCell ref="A3:F3"/>
    <mergeCell ref="A19:F19"/>
    <mergeCell ref="A35:F35"/>
    <mergeCell ref="A50:D5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
  <sheetViews>
    <sheetView showGridLines="0" zoomScaleNormal="100" workbookViewId="0">
      <selection sqref="A1:F1"/>
    </sheetView>
  </sheetViews>
  <sheetFormatPr defaultColWidth="8.6328125" defaultRowHeight="14.5" x14ac:dyDescent="0.35"/>
  <cols>
    <col min="1" max="1" width="14" customWidth="1"/>
    <col min="2" max="2" width="20" customWidth="1"/>
    <col min="3" max="4" width="12" customWidth="1"/>
    <col min="5" max="5" width="14" customWidth="1"/>
    <col min="6" max="6" width="12" customWidth="1"/>
  </cols>
  <sheetData>
    <row r="1" spans="1:6" ht="18" x14ac:dyDescent="0.4">
      <c r="A1" s="26" t="s">
        <v>130</v>
      </c>
      <c r="B1" s="26"/>
      <c r="C1" s="26"/>
      <c r="D1" s="26"/>
      <c r="E1" s="26"/>
      <c r="F1" s="26"/>
    </row>
    <row r="3" spans="1:6" x14ac:dyDescent="0.35">
      <c r="A3" s="24" t="s">
        <v>131</v>
      </c>
      <c r="B3" s="24"/>
      <c r="C3" s="24"/>
      <c r="D3" s="24"/>
      <c r="E3" s="24"/>
      <c r="F3" s="24"/>
    </row>
    <row r="4" spans="1:6" x14ac:dyDescent="0.35">
      <c r="A4" s="1" t="s">
        <v>43</v>
      </c>
      <c r="B4" s="1" t="s">
        <v>132</v>
      </c>
      <c r="C4" s="1" t="s">
        <v>124</v>
      </c>
      <c r="D4" s="1" t="s">
        <v>133</v>
      </c>
    </row>
    <row r="5" spans="1:6" x14ac:dyDescent="0.35">
      <c r="A5" s="2" t="s">
        <v>134</v>
      </c>
      <c r="B5" s="2" t="s">
        <v>135</v>
      </c>
      <c r="C5" s="2">
        <v>301</v>
      </c>
      <c r="D5" s="2" t="s">
        <v>136</v>
      </c>
    </row>
    <row r="6" spans="1:6" x14ac:dyDescent="0.35">
      <c r="A6" s="2" t="s">
        <v>50</v>
      </c>
      <c r="B6" s="2" t="s">
        <v>137</v>
      </c>
      <c r="C6" s="2">
        <v>707</v>
      </c>
      <c r="D6" s="2" t="s">
        <v>138</v>
      </c>
    </row>
    <row r="7" spans="1:6" x14ac:dyDescent="0.35">
      <c r="A7" s="2" t="s">
        <v>54</v>
      </c>
      <c r="B7" s="2" t="s">
        <v>135</v>
      </c>
      <c r="C7" s="2">
        <v>1366</v>
      </c>
      <c r="D7" s="2" t="s">
        <v>139</v>
      </c>
    </row>
    <row r="8" spans="1:6" x14ac:dyDescent="0.35">
      <c r="A8" s="2" t="s">
        <v>58</v>
      </c>
      <c r="B8" s="2" t="s">
        <v>140</v>
      </c>
      <c r="C8" s="2">
        <v>315</v>
      </c>
      <c r="D8" s="2" t="s">
        <v>139</v>
      </c>
    </row>
    <row r="9" spans="1:6" x14ac:dyDescent="0.35">
      <c r="A9" s="2" t="s">
        <v>141</v>
      </c>
      <c r="B9" s="2" t="s">
        <v>135</v>
      </c>
      <c r="C9" s="2">
        <v>697</v>
      </c>
      <c r="D9" s="2" t="s">
        <v>138</v>
      </c>
    </row>
    <row r="10" spans="1:6" x14ac:dyDescent="0.35">
      <c r="A10" s="2" t="s">
        <v>142</v>
      </c>
      <c r="B10" s="2" t="s">
        <v>72</v>
      </c>
      <c r="C10" s="2">
        <v>1399</v>
      </c>
      <c r="D10" s="2" t="s">
        <v>138</v>
      </c>
    </row>
    <row r="11" spans="1:6" x14ac:dyDescent="0.35">
      <c r="A11" s="2" t="s">
        <v>143</v>
      </c>
      <c r="B11" s="2" t="s">
        <v>140</v>
      </c>
      <c r="C11" s="2">
        <v>701</v>
      </c>
      <c r="D11" s="2" t="s">
        <v>144</v>
      </c>
    </row>
    <row r="12" spans="1:6" x14ac:dyDescent="0.35">
      <c r="A12" s="2" t="s">
        <v>145</v>
      </c>
      <c r="B12" s="2" t="s">
        <v>146</v>
      </c>
      <c r="C12" s="2">
        <v>263</v>
      </c>
      <c r="D12" s="2" t="s">
        <v>138</v>
      </c>
    </row>
    <row r="13" spans="1:6" x14ac:dyDescent="0.35">
      <c r="A13" s="2" t="s">
        <v>147</v>
      </c>
      <c r="B13" s="2" t="s">
        <v>140</v>
      </c>
      <c r="C13" s="2">
        <v>946</v>
      </c>
      <c r="D13" s="2" t="s">
        <v>136</v>
      </c>
    </row>
    <row r="14" spans="1:6" x14ac:dyDescent="0.35">
      <c r="A14" s="2" t="s">
        <v>148</v>
      </c>
      <c r="B14" s="2" t="s">
        <v>149</v>
      </c>
      <c r="C14" s="2">
        <v>690</v>
      </c>
      <c r="D14" s="2" t="s">
        <v>136</v>
      </c>
    </row>
    <row r="15" spans="1:6" x14ac:dyDescent="0.35">
      <c r="A15" s="2" t="s">
        <v>150</v>
      </c>
      <c r="B15" s="2" t="s">
        <v>135</v>
      </c>
      <c r="C15" s="2">
        <v>439</v>
      </c>
      <c r="D15" s="2" t="s">
        <v>144</v>
      </c>
    </row>
    <row r="16" spans="1:6" x14ac:dyDescent="0.35">
      <c r="A16" s="2" t="s">
        <v>151</v>
      </c>
      <c r="B16" s="2" t="s">
        <v>135</v>
      </c>
      <c r="C16" s="2">
        <v>985</v>
      </c>
      <c r="D16" s="2" t="s">
        <v>136</v>
      </c>
    </row>
    <row r="17" spans="1:6" x14ac:dyDescent="0.35">
      <c r="A17" s="2" t="s">
        <v>152</v>
      </c>
      <c r="B17" s="2" t="s">
        <v>146</v>
      </c>
      <c r="C17" s="2">
        <v>338</v>
      </c>
      <c r="D17" s="2" t="s">
        <v>144</v>
      </c>
    </row>
    <row r="18" spans="1:6" x14ac:dyDescent="0.35">
      <c r="A18" s="2" t="s">
        <v>153</v>
      </c>
      <c r="B18" s="2" t="s">
        <v>135</v>
      </c>
      <c r="C18" s="2">
        <v>1025</v>
      </c>
      <c r="D18" s="2" t="s">
        <v>139</v>
      </c>
    </row>
    <row r="19" spans="1:6" x14ac:dyDescent="0.35">
      <c r="A19" s="2" t="s">
        <v>154</v>
      </c>
      <c r="B19" s="2" t="s">
        <v>146</v>
      </c>
      <c r="C19" s="2">
        <v>990</v>
      </c>
      <c r="D19" s="2" t="s">
        <v>138</v>
      </c>
    </row>
    <row r="22" spans="1:6" x14ac:dyDescent="0.35">
      <c r="A22" s="1" t="s">
        <v>133</v>
      </c>
      <c r="B22" s="1" t="s">
        <v>124</v>
      </c>
    </row>
    <row r="23" spans="1:6" x14ac:dyDescent="0.35">
      <c r="A23" s="2" t="s">
        <v>139</v>
      </c>
      <c r="B23" s="2" t="s">
        <v>155</v>
      </c>
    </row>
    <row r="25" spans="1:6" x14ac:dyDescent="0.35">
      <c r="A25" s="1" t="s">
        <v>43</v>
      </c>
      <c r="B25" s="1" t="s">
        <v>132</v>
      </c>
      <c r="C25" s="1" t="s">
        <v>124</v>
      </c>
      <c r="D25" s="1" t="s">
        <v>133</v>
      </c>
    </row>
    <row r="26" spans="1:6" x14ac:dyDescent="0.35">
      <c r="A26" s="2" t="s">
        <v>54</v>
      </c>
      <c r="B26" s="2" t="s">
        <v>135</v>
      </c>
      <c r="C26" s="2">
        <v>1366</v>
      </c>
      <c r="D26" s="2" t="s">
        <v>139</v>
      </c>
    </row>
    <row r="27" spans="1:6" x14ac:dyDescent="0.35">
      <c r="A27" s="2" t="s">
        <v>153</v>
      </c>
      <c r="B27" s="2" t="s">
        <v>135</v>
      </c>
      <c r="C27" s="2">
        <v>1025</v>
      </c>
      <c r="D27" s="2" t="s">
        <v>139</v>
      </c>
    </row>
    <row r="29" spans="1:6" x14ac:dyDescent="0.35">
      <c r="A29" s="24" t="s">
        <v>156</v>
      </c>
      <c r="B29" s="24"/>
      <c r="C29" s="24"/>
      <c r="D29" s="24"/>
      <c r="E29" s="24"/>
      <c r="F29" s="24"/>
    </row>
    <row r="30" spans="1:6" ht="28" x14ac:dyDescent="0.35">
      <c r="A30" s="1" t="s">
        <v>157</v>
      </c>
      <c r="B30" s="1" t="s">
        <v>108</v>
      </c>
      <c r="C30" s="1" t="s">
        <v>36</v>
      </c>
      <c r="D30" s="1" t="s">
        <v>91</v>
      </c>
      <c r="E30" s="1" t="s">
        <v>158</v>
      </c>
    </row>
    <row r="31" spans="1:6" x14ac:dyDescent="0.35">
      <c r="A31" s="2" t="s">
        <v>159</v>
      </c>
      <c r="B31" s="2" t="s">
        <v>160</v>
      </c>
      <c r="C31" s="2">
        <v>386</v>
      </c>
      <c r="D31" s="2" t="s">
        <v>161</v>
      </c>
      <c r="E31" s="2" t="s">
        <v>162</v>
      </c>
    </row>
    <row r="32" spans="1:6" x14ac:dyDescent="0.35">
      <c r="A32" s="2" t="s">
        <v>163</v>
      </c>
      <c r="B32" s="2" t="s">
        <v>160</v>
      </c>
      <c r="C32" s="2">
        <v>3702</v>
      </c>
      <c r="D32" s="2" t="s">
        <v>161</v>
      </c>
      <c r="E32" s="2" t="s">
        <v>164</v>
      </c>
    </row>
    <row r="33" spans="1:5" x14ac:dyDescent="0.35">
      <c r="A33" s="2" t="s">
        <v>165</v>
      </c>
      <c r="B33" s="2" t="s">
        <v>166</v>
      </c>
      <c r="C33" s="2">
        <v>1337</v>
      </c>
      <c r="D33" s="2" t="s">
        <v>167</v>
      </c>
      <c r="E33" s="2" t="s">
        <v>162</v>
      </c>
    </row>
    <row r="34" spans="1:5" x14ac:dyDescent="0.35">
      <c r="A34" s="2" t="s">
        <v>168</v>
      </c>
      <c r="B34" s="2" t="s">
        <v>169</v>
      </c>
      <c r="C34" s="2">
        <v>1715</v>
      </c>
      <c r="D34" s="2" t="s">
        <v>170</v>
      </c>
      <c r="E34" s="2" t="s">
        <v>171</v>
      </c>
    </row>
    <row r="35" spans="1:5" x14ac:dyDescent="0.35">
      <c r="A35" s="2" t="s">
        <v>172</v>
      </c>
      <c r="B35" s="2" t="s">
        <v>173</v>
      </c>
      <c r="C35" s="2">
        <v>3073</v>
      </c>
      <c r="D35" s="2" t="s">
        <v>174</v>
      </c>
      <c r="E35" s="2" t="s">
        <v>171</v>
      </c>
    </row>
    <row r="36" spans="1:5" x14ac:dyDescent="0.35">
      <c r="A36" s="2" t="s">
        <v>175</v>
      </c>
      <c r="B36" s="2" t="s">
        <v>176</v>
      </c>
      <c r="C36" s="2">
        <v>868</v>
      </c>
      <c r="D36" s="2" t="s">
        <v>167</v>
      </c>
      <c r="E36" s="2" t="s">
        <v>177</v>
      </c>
    </row>
    <row r="37" spans="1:5" x14ac:dyDescent="0.35">
      <c r="A37" s="2" t="s">
        <v>178</v>
      </c>
      <c r="B37" s="2" t="s">
        <v>173</v>
      </c>
      <c r="C37" s="2">
        <v>3989</v>
      </c>
      <c r="D37" s="2" t="s">
        <v>161</v>
      </c>
      <c r="E37" s="2" t="s">
        <v>162</v>
      </c>
    </row>
    <row r="38" spans="1:5" x14ac:dyDescent="0.35">
      <c r="A38" s="2" t="s">
        <v>179</v>
      </c>
      <c r="B38" s="2" t="s">
        <v>180</v>
      </c>
      <c r="C38" s="2">
        <v>1137</v>
      </c>
      <c r="D38" s="2" t="s">
        <v>174</v>
      </c>
      <c r="E38" s="2" t="s">
        <v>162</v>
      </c>
    </row>
    <row r="39" spans="1:5" x14ac:dyDescent="0.35">
      <c r="A39" s="2" t="s">
        <v>181</v>
      </c>
      <c r="B39" s="2" t="s">
        <v>166</v>
      </c>
      <c r="C39" s="2">
        <v>1295</v>
      </c>
      <c r="D39" s="2" t="s">
        <v>174</v>
      </c>
      <c r="E39" s="2" t="s">
        <v>171</v>
      </c>
    </row>
    <row r="40" spans="1:5" x14ac:dyDescent="0.35">
      <c r="A40" s="2" t="s">
        <v>182</v>
      </c>
      <c r="B40" s="2" t="s">
        <v>183</v>
      </c>
      <c r="C40" s="2">
        <v>1069</v>
      </c>
      <c r="D40" s="2" t="s">
        <v>167</v>
      </c>
      <c r="E40" s="2" t="s">
        <v>177</v>
      </c>
    </row>
    <row r="41" spans="1:5" x14ac:dyDescent="0.35">
      <c r="A41" s="2" t="s">
        <v>184</v>
      </c>
      <c r="B41" s="2" t="s">
        <v>185</v>
      </c>
      <c r="C41" s="2">
        <v>784</v>
      </c>
      <c r="D41" s="2" t="s">
        <v>170</v>
      </c>
      <c r="E41" s="2" t="s">
        <v>171</v>
      </c>
    </row>
    <row r="42" spans="1:5" x14ac:dyDescent="0.35">
      <c r="A42" s="2" t="s">
        <v>186</v>
      </c>
      <c r="B42" s="2" t="s">
        <v>176</v>
      </c>
      <c r="C42" s="2">
        <v>3250</v>
      </c>
      <c r="D42" s="2" t="s">
        <v>170</v>
      </c>
      <c r="E42" s="2" t="s">
        <v>177</v>
      </c>
    </row>
    <row r="43" spans="1:5" x14ac:dyDescent="0.35">
      <c r="A43" s="2" t="s">
        <v>187</v>
      </c>
      <c r="B43" s="2" t="s">
        <v>166</v>
      </c>
      <c r="C43" s="2">
        <v>1681</v>
      </c>
      <c r="D43" s="2" t="s">
        <v>161</v>
      </c>
      <c r="E43" s="2" t="s">
        <v>171</v>
      </c>
    </row>
    <row r="44" spans="1:5" x14ac:dyDescent="0.35">
      <c r="A44" s="2" t="s">
        <v>188</v>
      </c>
      <c r="B44" s="2" t="s">
        <v>185</v>
      </c>
      <c r="C44" s="2">
        <v>571</v>
      </c>
      <c r="D44" s="2" t="s">
        <v>174</v>
      </c>
      <c r="E44" s="2" t="s">
        <v>164</v>
      </c>
    </row>
    <row r="45" spans="1:5" x14ac:dyDescent="0.35">
      <c r="A45" s="2" t="s">
        <v>189</v>
      </c>
      <c r="B45" s="2" t="s">
        <v>169</v>
      </c>
      <c r="C45" s="2">
        <v>2769</v>
      </c>
      <c r="D45" s="2" t="s">
        <v>161</v>
      </c>
      <c r="E45" s="2" t="s">
        <v>177</v>
      </c>
    </row>
    <row r="46" spans="1:5" x14ac:dyDescent="0.35">
      <c r="A46" s="2" t="s">
        <v>190</v>
      </c>
      <c r="B46" s="2" t="s">
        <v>160</v>
      </c>
      <c r="C46" s="2">
        <v>1775</v>
      </c>
      <c r="D46" s="2" t="s">
        <v>167</v>
      </c>
      <c r="E46" s="2" t="s">
        <v>177</v>
      </c>
    </row>
    <row r="47" spans="1:5" x14ac:dyDescent="0.35">
      <c r="A47" s="2" t="s">
        <v>191</v>
      </c>
      <c r="B47" s="2" t="s">
        <v>173</v>
      </c>
      <c r="C47" s="2">
        <v>2465</v>
      </c>
      <c r="D47" s="2" t="s">
        <v>174</v>
      </c>
      <c r="E47" s="2" t="s">
        <v>164</v>
      </c>
    </row>
    <row r="48" spans="1:5" x14ac:dyDescent="0.35">
      <c r="A48" s="2" t="s">
        <v>192</v>
      </c>
      <c r="B48" s="2" t="s">
        <v>173</v>
      </c>
      <c r="C48" s="2">
        <v>3347</v>
      </c>
      <c r="D48" s="2" t="s">
        <v>170</v>
      </c>
      <c r="E48" s="2" t="s">
        <v>164</v>
      </c>
    </row>
    <row r="49" spans="1:6" x14ac:dyDescent="0.35">
      <c r="A49" s="2" t="s">
        <v>193</v>
      </c>
      <c r="B49" s="2" t="s">
        <v>173</v>
      </c>
      <c r="C49" s="2">
        <v>1979</v>
      </c>
      <c r="D49" s="2" t="s">
        <v>161</v>
      </c>
      <c r="E49" s="2" t="s">
        <v>177</v>
      </c>
    </row>
    <row r="50" spans="1:6" x14ac:dyDescent="0.35">
      <c r="A50" s="2" t="s">
        <v>194</v>
      </c>
      <c r="B50" s="2" t="s">
        <v>180</v>
      </c>
      <c r="C50" s="2">
        <v>3156</v>
      </c>
      <c r="D50" s="2" t="s">
        <v>170</v>
      </c>
      <c r="E50" s="2" t="s">
        <v>171</v>
      </c>
    </row>
    <row r="52" spans="1:6" x14ac:dyDescent="0.35">
      <c r="A52" s="24" t="s">
        <v>195</v>
      </c>
      <c r="B52" s="24"/>
      <c r="C52" s="24"/>
      <c r="D52" s="24"/>
      <c r="E52" s="24"/>
      <c r="F52" s="24"/>
    </row>
    <row r="53" spans="1:6" ht="28" x14ac:dyDescent="0.35">
      <c r="A53" s="1" t="s">
        <v>91</v>
      </c>
      <c r="B53" s="1" t="s">
        <v>158</v>
      </c>
    </row>
    <row r="54" spans="1:6" x14ac:dyDescent="0.35">
      <c r="A54" s="2" t="s">
        <v>174</v>
      </c>
      <c r="B54" s="2"/>
    </row>
    <row r="55" spans="1:6" x14ac:dyDescent="0.35">
      <c r="A55" s="2"/>
      <c r="B55" s="2" t="s">
        <v>164</v>
      </c>
    </row>
    <row r="57" spans="1:6" ht="28" x14ac:dyDescent="0.35">
      <c r="A57" s="1" t="s">
        <v>157</v>
      </c>
      <c r="B57" s="1" t="s">
        <v>108</v>
      </c>
      <c r="C57" s="1" t="s">
        <v>36</v>
      </c>
      <c r="D57" s="1" t="s">
        <v>91</v>
      </c>
      <c r="E57" s="1" t="s">
        <v>158</v>
      </c>
    </row>
    <row r="58" spans="1:6" x14ac:dyDescent="0.35">
      <c r="A58" s="2" t="s">
        <v>163</v>
      </c>
      <c r="B58" s="2" t="s">
        <v>160</v>
      </c>
      <c r="C58" s="2">
        <v>3702</v>
      </c>
      <c r="D58" s="2" t="s">
        <v>161</v>
      </c>
      <c r="E58" s="2" t="s">
        <v>164</v>
      </c>
    </row>
    <row r="59" spans="1:6" x14ac:dyDescent="0.35">
      <c r="A59" s="2" t="s">
        <v>172</v>
      </c>
      <c r="B59" s="2" t="s">
        <v>173</v>
      </c>
      <c r="C59" s="2">
        <v>3073</v>
      </c>
      <c r="D59" s="2" t="s">
        <v>174</v>
      </c>
      <c r="E59" s="2" t="s">
        <v>171</v>
      </c>
    </row>
    <row r="60" spans="1:6" x14ac:dyDescent="0.35">
      <c r="A60" s="2" t="s">
        <v>179</v>
      </c>
      <c r="B60" s="2" t="s">
        <v>180</v>
      </c>
      <c r="C60" s="2">
        <v>1137</v>
      </c>
      <c r="D60" s="2" t="s">
        <v>174</v>
      </c>
      <c r="E60" s="2" t="s">
        <v>162</v>
      </c>
    </row>
    <row r="61" spans="1:6" x14ac:dyDescent="0.35">
      <c r="A61" s="2" t="s">
        <v>181</v>
      </c>
      <c r="B61" s="2" t="s">
        <v>166</v>
      </c>
      <c r="C61" s="2">
        <v>1295</v>
      </c>
      <c r="D61" s="2" t="s">
        <v>174</v>
      </c>
      <c r="E61" s="2" t="s">
        <v>171</v>
      </c>
    </row>
    <row r="62" spans="1:6" x14ac:dyDescent="0.35">
      <c r="A62" s="2" t="s">
        <v>188</v>
      </c>
      <c r="B62" s="2" t="s">
        <v>185</v>
      </c>
      <c r="C62" s="2">
        <v>571</v>
      </c>
      <c r="D62" s="2" t="s">
        <v>174</v>
      </c>
      <c r="E62" s="2" t="s">
        <v>164</v>
      </c>
    </row>
    <row r="63" spans="1:6" x14ac:dyDescent="0.35">
      <c r="A63" s="2" t="s">
        <v>191</v>
      </c>
      <c r="B63" s="2" t="s">
        <v>173</v>
      </c>
      <c r="C63" s="2">
        <v>2465</v>
      </c>
      <c r="D63" s="2" t="s">
        <v>174</v>
      </c>
      <c r="E63" s="2" t="s">
        <v>164</v>
      </c>
    </row>
    <row r="64" spans="1:6" x14ac:dyDescent="0.35">
      <c r="A64" s="2" t="s">
        <v>192</v>
      </c>
      <c r="B64" s="2" t="s">
        <v>173</v>
      </c>
      <c r="C64" s="2">
        <v>3347</v>
      </c>
      <c r="D64" s="2" t="s">
        <v>170</v>
      </c>
      <c r="E64" s="2" t="s">
        <v>164</v>
      </c>
    </row>
    <row r="66" spans="1:6" x14ac:dyDescent="0.35">
      <c r="A66" s="24" t="s">
        <v>196</v>
      </c>
      <c r="B66" s="24"/>
      <c r="C66" s="24"/>
      <c r="D66" s="24"/>
      <c r="E66" s="24"/>
      <c r="F66" s="24"/>
    </row>
    <row r="67" spans="1:6" ht="28" x14ac:dyDescent="0.35">
      <c r="A67" s="1" t="s">
        <v>197</v>
      </c>
      <c r="B67" s="1" t="s">
        <v>198</v>
      </c>
      <c r="C67" s="1" t="s">
        <v>107</v>
      </c>
      <c r="D67" s="1" t="s">
        <v>199</v>
      </c>
      <c r="E67" s="1" t="s">
        <v>200</v>
      </c>
    </row>
    <row r="68" spans="1:6" x14ac:dyDescent="0.35">
      <c r="A68" s="2" t="s">
        <v>201</v>
      </c>
      <c r="B68" s="2" t="s">
        <v>202</v>
      </c>
      <c r="C68" s="2" t="s">
        <v>110</v>
      </c>
      <c r="D68" s="2">
        <v>5</v>
      </c>
      <c r="E68" s="2">
        <v>900</v>
      </c>
    </row>
    <row r="69" spans="1:6" x14ac:dyDescent="0.35">
      <c r="A69" s="2" t="s">
        <v>203</v>
      </c>
      <c r="B69" s="2" t="s">
        <v>101</v>
      </c>
      <c r="C69" s="2" t="s">
        <v>110</v>
      </c>
      <c r="D69" s="2">
        <v>6</v>
      </c>
      <c r="E69" s="2">
        <v>1320</v>
      </c>
    </row>
    <row r="70" spans="1:6" x14ac:dyDescent="0.35">
      <c r="A70" s="2" t="s">
        <v>204</v>
      </c>
      <c r="B70" s="2" t="s">
        <v>205</v>
      </c>
      <c r="C70" s="2" t="s">
        <v>110</v>
      </c>
      <c r="D70" s="2">
        <v>2</v>
      </c>
      <c r="E70" s="2">
        <v>360</v>
      </c>
    </row>
    <row r="71" spans="1:6" x14ac:dyDescent="0.35">
      <c r="A71" s="2" t="s">
        <v>206</v>
      </c>
      <c r="B71" s="2" t="s">
        <v>100</v>
      </c>
      <c r="C71" s="2" t="s">
        <v>110</v>
      </c>
      <c r="D71" s="2">
        <v>4</v>
      </c>
      <c r="E71" s="2">
        <v>720</v>
      </c>
    </row>
    <row r="72" spans="1:6" x14ac:dyDescent="0.35">
      <c r="A72" s="2" t="s">
        <v>207</v>
      </c>
      <c r="B72" s="2" t="s">
        <v>100</v>
      </c>
      <c r="C72" s="2" t="s">
        <v>113</v>
      </c>
      <c r="D72" s="2">
        <v>3</v>
      </c>
      <c r="E72" s="2">
        <v>660</v>
      </c>
    </row>
    <row r="73" spans="1:6" x14ac:dyDescent="0.35">
      <c r="A73" s="2" t="s">
        <v>208</v>
      </c>
      <c r="B73" s="2" t="s">
        <v>100</v>
      </c>
      <c r="C73" s="2" t="s">
        <v>115</v>
      </c>
      <c r="D73" s="2">
        <v>5</v>
      </c>
      <c r="E73" s="2">
        <v>900</v>
      </c>
    </row>
    <row r="74" spans="1:6" x14ac:dyDescent="0.35">
      <c r="A74" s="2" t="s">
        <v>209</v>
      </c>
      <c r="B74" s="2" t="s">
        <v>101</v>
      </c>
      <c r="C74" s="2" t="s">
        <v>115</v>
      </c>
      <c r="D74" s="2">
        <v>1</v>
      </c>
      <c r="E74" s="2">
        <v>220</v>
      </c>
    </row>
    <row r="75" spans="1:6" x14ac:dyDescent="0.35">
      <c r="A75" s="2" t="s">
        <v>210</v>
      </c>
      <c r="B75" s="2" t="s">
        <v>102</v>
      </c>
      <c r="C75" s="2" t="s">
        <v>115</v>
      </c>
      <c r="D75" s="2">
        <v>5</v>
      </c>
      <c r="E75" s="2">
        <v>1100</v>
      </c>
    </row>
    <row r="76" spans="1:6" x14ac:dyDescent="0.35">
      <c r="A76" s="2" t="s">
        <v>211</v>
      </c>
      <c r="B76" s="2" t="s">
        <v>202</v>
      </c>
      <c r="C76" s="2" t="s">
        <v>110</v>
      </c>
      <c r="D76" s="2">
        <v>2</v>
      </c>
      <c r="E76" s="2">
        <v>440</v>
      </c>
    </row>
    <row r="77" spans="1:6" x14ac:dyDescent="0.35">
      <c r="A77" s="2" t="s">
        <v>212</v>
      </c>
      <c r="B77" s="2" t="s">
        <v>103</v>
      </c>
      <c r="C77" s="2" t="s">
        <v>115</v>
      </c>
      <c r="D77" s="2">
        <v>4</v>
      </c>
      <c r="E77" s="2">
        <v>1000</v>
      </c>
    </row>
    <row r="78" spans="1:6" x14ac:dyDescent="0.35">
      <c r="A78" s="2" t="s">
        <v>213</v>
      </c>
      <c r="B78" s="2" t="s">
        <v>101</v>
      </c>
      <c r="C78" s="2" t="s">
        <v>116</v>
      </c>
      <c r="D78" s="2">
        <v>1</v>
      </c>
      <c r="E78" s="2">
        <v>220</v>
      </c>
    </row>
    <row r="79" spans="1:6" x14ac:dyDescent="0.35">
      <c r="A79" s="2" t="s">
        <v>214</v>
      </c>
      <c r="B79" s="2" t="s">
        <v>205</v>
      </c>
      <c r="C79" s="2" t="s">
        <v>113</v>
      </c>
      <c r="D79" s="2">
        <v>3</v>
      </c>
      <c r="E79" s="2">
        <v>540</v>
      </c>
    </row>
    <row r="81" spans="1:6" x14ac:dyDescent="0.35">
      <c r="A81" s="24" t="s">
        <v>215</v>
      </c>
      <c r="B81" s="24"/>
      <c r="C81" s="24"/>
      <c r="D81" s="24"/>
      <c r="E81" s="24"/>
      <c r="F81" s="24"/>
    </row>
    <row r="82" spans="1:6" ht="28" x14ac:dyDescent="0.35">
      <c r="A82" s="1" t="s">
        <v>197</v>
      </c>
      <c r="B82" s="1" t="s">
        <v>198</v>
      </c>
      <c r="C82" s="1" t="s">
        <v>107</v>
      </c>
      <c r="D82" s="1" t="s">
        <v>199</v>
      </c>
      <c r="E82" s="1" t="s">
        <v>200</v>
      </c>
    </row>
    <row r="84" spans="1:6" x14ac:dyDescent="0.35">
      <c r="A84" s="24" t="s">
        <v>216</v>
      </c>
      <c r="B84" s="24"/>
      <c r="C84" s="24"/>
      <c r="D84" s="24"/>
      <c r="E84" s="24"/>
      <c r="F84" s="24"/>
    </row>
    <row r="85" spans="1:6" ht="28" x14ac:dyDescent="0.35">
      <c r="A85" s="1" t="s">
        <v>217</v>
      </c>
      <c r="B85" s="1" t="s">
        <v>218</v>
      </c>
      <c r="C85" s="1" t="s">
        <v>219</v>
      </c>
      <c r="D85" s="1" t="s">
        <v>220</v>
      </c>
      <c r="E85" s="1" t="s">
        <v>221</v>
      </c>
    </row>
    <row r="86" spans="1:6" x14ac:dyDescent="0.35">
      <c r="A86" s="2" t="s">
        <v>222</v>
      </c>
      <c r="B86" s="2" t="s">
        <v>223</v>
      </c>
      <c r="C86" s="2">
        <v>313512</v>
      </c>
      <c r="D86" s="2">
        <v>3.3</v>
      </c>
      <c r="E86" s="2" t="s">
        <v>224</v>
      </c>
    </row>
    <row r="87" spans="1:6" x14ac:dyDescent="0.35">
      <c r="A87" s="2" t="s">
        <v>225</v>
      </c>
      <c r="B87" s="2" t="s">
        <v>226</v>
      </c>
      <c r="C87" s="2">
        <v>376112</v>
      </c>
      <c r="D87" s="2">
        <v>6.5</v>
      </c>
      <c r="E87" s="2" t="s">
        <v>227</v>
      </c>
    </row>
    <row r="88" spans="1:6" x14ac:dyDescent="0.35">
      <c r="A88" s="2" t="s">
        <v>228</v>
      </c>
      <c r="B88" s="2" t="s">
        <v>229</v>
      </c>
      <c r="C88" s="2">
        <v>40337</v>
      </c>
      <c r="D88" s="2">
        <v>8.6999999999999993</v>
      </c>
      <c r="E88" s="2" t="s">
        <v>230</v>
      </c>
    </row>
    <row r="89" spans="1:6" x14ac:dyDescent="0.35">
      <c r="A89" s="2" t="s">
        <v>231</v>
      </c>
      <c r="B89" s="2" t="s">
        <v>232</v>
      </c>
      <c r="C89" s="2">
        <v>42149</v>
      </c>
      <c r="D89" s="2">
        <v>5.6</v>
      </c>
      <c r="E89" s="2" t="s">
        <v>230</v>
      </c>
    </row>
    <row r="90" spans="1:6" x14ac:dyDescent="0.35">
      <c r="A90" s="2" t="s">
        <v>233</v>
      </c>
      <c r="B90" s="2" t="s">
        <v>234</v>
      </c>
      <c r="C90" s="2">
        <v>355737</v>
      </c>
      <c r="D90" s="2">
        <v>5.4</v>
      </c>
      <c r="E90" s="2" t="s">
        <v>227</v>
      </c>
    </row>
    <row r="91" spans="1:6" x14ac:dyDescent="0.35">
      <c r="A91" s="2" t="s">
        <v>235</v>
      </c>
      <c r="B91" s="2" t="s">
        <v>236</v>
      </c>
      <c r="C91" s="2">
        <v>384245</v>
      </c>
      <c r="D91" s="2">
        <v>9</v>
      </c>
      <c r="E91" s="2" t="s">
        <v>237</v>
      </c>
    </row>
    <row r="92" spans="1:6" x14ac:dyDescent="0.35">
      <c r="A92" s="2" t="s">
        <v>238</v>
      </c>
      <c r="B92" s="2" t="s">
        <v>239</v>
      </c>
      <c r="C92" s="2">
        <v>132400</v>
      </c>
      <c r="D92" s="2">
        <v>7.8</v>
      </c>
      <c r="E92" s="2" t="s">
        <v>237</v>
      </c>
    </row>
    <row r="93" spans="1:6" x14ac:dyDescent="0.35">
      <c r="A93" s="2" t="s">
        <v>240</v>
      </c>
      <c r="B93" s="2" t="s">
        <v>241</v>
      </c>
      <c r="C93" s="2">
        <v>104829</v>
      </c>
      <c r="D93" s="2">
        <v>2.2999999999999998</v>
      </c>
      <c r="E93" s="2" t="s">
        <v>237</v>
      </c>
    </row>
    <row r="94" spans="1:6" x14ac:dyDescent="0.35">
      <c r="A94" s="2" t="s">
        <v>242</v>
      </c>
      <c r="B94" s="2" t="s">
        <v>243</v>
      </c>
      <c r="C94" s="2">
        <v>190753</v>
      </c>
      <c r="D94" s="2">
        <v>4.9000000000000004</v>
      </c>
      <c r="E94" s="2" t="s">
        <v>237</v>
      </c>
    </row>
    <row r="95" spans="1:6" x14ac:dyDescent="0.35">
      <c r="A95" s="2" t="s">
        <v>244</v>
      </c>
      <c r="B95" s="2" t="s">
        <v>245</v>
      </c>
      <c r="C95" s="2">
        <v>457899</v>
      </c>
      <c r="D95" s="2">
        <v>7.3</v>
      </c>
      <c r="E95" s="2" t="s">
        <v>224</v>
      </c>
    </row>
    <row r="96" spans="1:6" ht="27.75" customHeight="1" x14ac:dyDescent="0.35">
      <c r="A96" s="25" t="s">
        <v>246</v>
      </c>
      <c r="B96" s="25"/>
      <c r="C96" s="25"/>
      <c r="D96" s="25"/>
      <c r="E96" s="25"/>
      <c r="F96" s="25"/>
    </row>
  </sheetData>
  <mergeCells count="8">
    <mergeCell ref="A81:F81"/>
    <mergeCell ref="A84:F84"/>
    <mergeCell ref="A96:F96"/>
    <mergeCell ref="A1:F1"/>
    <mergeCell ref="A3:F3"/>
    <mergeCell ref="A29:F29"/>
    <mergeCell ref="A52:F52"/>
    <mergeCell ref="A66:F6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showGridLines="0" zoomScaleNormal="100" workbookViewId="0"/>
  </sheetViews>
  <sheetFormatPr defaultColWidth="8.6328125" defaultRowHeight="14.5" x14ac:dyDescent="0.35"/>
  <cols>
    <col min="1" max="1" width="24" customWidth="1"/>
    <col min="2" max="2" width="30" customWidth="1"/>
  </cols>
  <sheetData>
    <row r="1" spans="1:6" ht="18" x14ac:dyDescent="0.4">
      <c r="A1" s="26" t="s">
        <v>247</v>
      </c>
      <c r="B1" s="26"/>
      <c r="C1" s="26"/>
      <c r="D1" s="26"/>
      <c r="E1" s="26"/>
      <c r="F1" s="26"/>
    </row>
    <row r="3" spans="1:6" x14ac:dyDescent="0.35">
      <c r="A3" s="24" t="s">
        <v>248</v>
      </c>
      <c r="B3" s="24"/>
      <c r="C3" s="24"/>
      <c r="D3" s="24"/>
      <c r="E3" s="24"/>
      <c r="F3" s="24"/>
    </row>
    <row r="4" spans="1:6" x14ac:dyDescent="0.35">
      <c r="A4" s="1" t="s">
        <v>249</v>
      </c>
      <c r="B4" s="1" t="s">
        <v>250</v>
      </c>
    </row>
    <row r="5" spans="1:6" x14ac:dyDescent="0.35">
      <c r="A5" s="4" t="s">
        <v>251</v>
      </c>
      <c r="B5" s="4" t="str">
        <f>LEFT(A5,4)</f>
        <v>iPho</v>
      </c>
    </row>
    <row r="6" spans="1:6" x14ac:dyDescent="0.35">
      <c r="A6" s="4" t="s">
        <v>252</v>
      </c>
      <c r="B6" s="4" t="str">
        <f>LEFT(A6,4)</f>
        <v>Gala</v>
      </c>
    </row>
    <row r="7" spans="1:6" x14ac:dyDescent="0.35">
      <c r="A7" s="4" t="s">
        <v>253</v>
      </c>
      <c r="B7" s="4" t="str">
        <f>LEFT(A7,4)</f>
        <v>Redm</v>
      </c>
    </row>
    <row r="8" spans="1:6" x14ac:dyDescent="0.35">
      <c r="A8" s="4" t="s">
        <v>254</v>
      </c>
      <c r="B8" s="4" t="str">
        <f>LEFT(A8,4)</f>
        <v>Pixe</v>
      </c>
    </row>
    <row r="9" spans="1:6" x14ac:dyDescent="0.35">
      <c r="A9" s="4" t="s">
        <v>255</v>
      </c>
      <c r="B9" s="4" t="str">
        <f>LEFT(A9,4)</f>
        <v>OneP</v>
      </c>
    </row>
    <row r="12" spans="1:6" x14ac:dyDescent="0.35">
      <c r="A12" s="24" t="s">
        <v>256</v>
      </c>
      <c r="B12" s="24"/>
      <c r="C12" s="24"/>
      <c r="D12" s="24"/>
      <c r="E12" s="24"/>
      <c r="F12" s="24"/>
    </row>
    <row r="13" spans="1:6" x14ac:dyDescent="0.35">
      <c r="A13" s="1" t="s">
        <v>43</v>
      </c>
      <c r="B13" s="1" t="s">
        <v>257</v>
      </c>
    </row>
    <row r="14" spans="1:6" x14ac:dyDescent="0.35">
      <c r="A14" s="4" t="s">
        <v>258</v>
      </c>
      <c r="B14" s="4" t="str">
        <f>RIGHT(A14,2)</f>
        <v>GJ</v>
      </c>
    </row>
    <row r="15" spans="1:6" x14ac:dyDescent="0.35">
      <c r="A15" s="4" t="s">
        <v>259</v>
      </c>
      <c r="B15" s="4" t="str">
        <f>RIGHT(A15,2)</f>
        <v>MH</v>
      </c>
    </row>
    <row r="16" spans="1:6" x14ac:dyDescent="0.35">
      <c r="A16" s="4" t="s">
        <v>260</v>
      </c>
      <c r="B16" s="4" t="str">
        <f>RIGHT(A16,2)</f>
        <v>DL</v>
      </c>
    </row>
    <row r="17" spans="1:6" x14ac:dyDescent="0.35">
      <c r="A17" s="4" t="s">
        <v>261</v>
      </c>
      <c r="B17" s="4" t="str">
        <f>RIGHT(A17,2)</f>
        <v>KA</v>
      </c>
    </row>
    <row r="20" spans="1:6" x14ac:dyDescent="0.35">
      <c r="A20" s="24" t="s">
        <v>262</v>
      </c>
      <c r="B20" s="24"/>
      <c r="C20" s="24"/>
      <c r="D20" s="24"/>
      <c r="E20" s="24"/>
      <c r="F20" s="24"/>
    </row>
    <row r="21" spans="1:6" ht="28" x14ac:dyDescent="0.35">
      <c r="A21" s="1" t="s">
        <v>263</v>
      </c>
      <c r="B21" s="1" t="s">
        <v>264</v>
      </c>
    </row>
    <row r="22" spans="1:6" x14ac:dyDescent="0.35">
      <c r="A22" s="4" t="s">
        <v>265</v>
      </c>
      <c r="B22" s="4" t="str">
        <f>MID(A22,1,FIND("@",A22)-1)</f>
        <v>virat18</v>
      </c>
    </row>
    <row r="23" spans="1:6" x14ac:dyDescent="0.35">
      <c r="A23" s="4" t="s">
        <v>266</v>
      </c>
      <c r="B23" s="4" t="str">
        <f>MID(A23,1,FIND("@",A23)-1)</f>
        <v>rohit45sharma</v>
      </c>
    </row>
    <row r="24" spans="1:6" x14ac:dyDescent="0.35">
      <c r="A24" s="4" t="s">
        <v>267</v>
      </c>
      <c r="B24" s="4" t="str">
        <f>MID(A24,1,FIND("@",A24)-1)</f>
        <v>ms.dhoni7</v>
      </c>
    </row>
    <row r="27" spans="1:6" x14ac:dyDescent="0.35">
      <c r="A27" s="24" t="s">
        <v>268</v>
      </c>
      <c r="B27" s="24"/>
      <c r="C27" s="24"/>
      <c r="D27" s="24"/>
      <c r="E27" s="24"/>
      <c r="F27" s="24"/>
    </row>
    <row r="28" spans="1:6" x14ac:dyDescent="0.35">
      <c r="A28" s="1" t="s">
        <v>269</v>
      </c>
      <c r="B28" s="1" t="s">
        <v>270</v>
      </c>
    </row>
    <row r="29" spans="1:6" x14ac:dyDescent="0.35">
      <c r="A29" s="4">
        <v>156</v>
      </c>
      <c r="B29" s="4" t="str">
        <f>TEXT(A29,"0")&amp;" runs"</f>
        <v>156 runs</v>
      </c>
    </row>
    <row r="30" spans="1:6" x14ac:dyDescent="0.35">
      <c r="A30" s="4">
        <v>210</v>
      </c>
      <c r="B30" s="4" t="str">
        <f>TEXT(A30,"0")&amp;" runs"</f>
        <v>210 runs</v>
      </c>
    </row>
    <row r="31" spans="1:6" x14ac:dyDescent="0.35">
      <c r="A31" s="4">
        <v>98</v>
      </c>
      <c r="B31" s="4" t="str">
        <f>TEXT(A31,"0")&amp;" runs"</f>
        <v>98 runs</v>
      </c>
    </row>
    <row r="32" spans="1:6" x14ac:dyDescent="0.35">
      <c r="A32" s="4">
        <v>301</v>
      </c>
      <c r="B32" s="4" t="str">
        <f>TEXT(A32,"0")&amp;" runs"</f>
        <v>301 runs</v>
      </c>
    </row>
    <row r="35" spans="1:6" x14ac:dyDescent="0.35">
      <c r="A35" s="24" t="s">
        <v>271</v>
      </c>
      <c r="B35" s="24"/>
      <c r="C35" s="24"/>
      <c r="D35" s="24"/>
      <c r="E35" s="24"/>
      <c r="F35" s="24"/>
    </row>
    <row r="36" spans="1:6" x14ac:dyDescent="0.35">
      <c r="A36" s="1" t="s">
        <v>272</v>
      </c>
      <c r="B36" s="1" t="s">
        <v>273</v>
      </c>
    </row>
    <row r="37" spans="1:6" x14ac:dyDescent="0.35">
      <c r="A37" s="4">
        <v>3</v>
      </c>
      <c r="B37" s="4" t="str">
        <f>REPT("SALE",A37)</f>
        <v>SALESALESALE</v>
      </c>
    </row>
    <row r="38" spans="1:6" x14ac:dyDescent="0.35">
      <c r="A38" s="4">
        <v>1</v>
      </c>
      <c r="B38" s="4" t="str">
        <f>REPT("SALE",A38)</f>
        <v>SALE</v>
      </c>
    </row>
    <row r="39" spans="1:6" x14ac:dyDescent="0.35">
      <c r="A39" s="4">
        <v>5</v>
      </c>
      <c r="B39" s="4" t="str">
        <f>REPT("SALE",A39)</f>
        <v>SALESALESALESALESALE</v>
      </c>
    </row>
    <row r="40" spans="1:6" x14ac:dyDescent="0.35">
      <c r="A40" s="4">
        <v>2</v>
      </c>
      <c r="B40" s="4" t="str">
        <f>REPT("SALE",A40)</f>
        <v>SALESALE</v>
      </c>
    </row>
  </sheetData>
  <mergeCells count="6">
    <mergeCell ref="A35:F35"/>
    <mergeCell ref="A1:F1"/>
    <mergeCell ref="A3:F3"/>
    <mergeCell ref="A12:F12"/>
    <mergeCell ref="A20:F20"/>
    <mergeCell ref="A27:F2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showGridLines="0" topLeftCell="A26" zoomScaleNormal="100" workbookViewId="0">
      <selection activeCell="D37" sqref="D37"/>
    </sheetView>
  </sheetViews>
  <sheetFormatPr defaultColWidth="8.6328125" defaultRowHeight="14.5" x14ac:dyDescent="0.35"/>
  <cols>
    <col min="1" max="3" width="30" customWidth="1"/>
  </cols>
  <sheetData>
    <row r="1" spans="1:6" ht="18" x14ac:dyDescent="0.4">
      <c r="A1" s="26" t="s">
        <v>274</v>
      </c>
      <c r="B1" s="26"/>
      <c r="C1" s="26"/>
      <c r="D1" s="26"/>
      <c r="E1" s="26"/>
      <c r="F1" s="26"/>
    </row>
    <row r="3" spans="1:6" x14ac:dyDescent="0.35">
      <c r="A3" s="24" t="s">
        <v>275</v>
      </c>
      <c r="B3" s="24"/>
      <c r="C3" s="24"/>
      <c r="D3" s="24"/>
      <c r="E3" s="24"/>
      <c r="F3" s="24"/>
    </row>
    <row r="4" spans="1:6" x14ac:dyDescent="0.35">
      <c r="A4" s="1" t="s">
        <v>276</v>
      </c>
      <c r="B4" s="1" t="s">
        <v>277</v>
      </c>
    </row>
    <row r="5" spans="1:6" x14ac:dyDescent="0.35">
      <c r="A5" s="4" t="s">
        <v>1025</v>
      </c>
      <c r="B5" s="4" t="str">
        <f>TRIM(A5)</f>
        <v>anjali mehta</v>
      </c>
    </row>
    <row r="6" spans="1:6" x14ac:dyDescent="0.35">
      <c r="A6" s="4" t="s">
        <v>1026</v>
      </c>
      <c r="B6" s="4" t="str">
        <f>TRIM(A6)</f>
        <v>RAVI PATEL</v>
      </c>
    </row>
    <row r="7" spans="1:6" x14ac:dyDescent="0.35">
      <c r="A7" s="4" t="s">
        <v>1027</v>
      </c>
      <c r="B7" s="4" t="str">
        <f>TRIM(A7)</f>
        <v>Priya Singh</v>
      </c>
    </row>
    <row r="10" spans="1:6" x14ac:dyDescent="0.35">
      <c r="A10" s="24" t="s">
        <v>278</v>
      </c>
      <c r="B10" s="24"/>
      <c r="C10" s="24"/>
      <c r="D10" s="24"/>
      <c r="E10" s="24"/>
      <c r="F10" s="24"/>
    </row>
    <row r="11" spans="1:6" ht="28" x14ac:dyDescent="0.35">
      <c r="A11" s="1" t="s">
        <v>279</v>
      </c>
      <c r="B11" s="1" t="s">
        <v>280</v>
      </c>
    </row>
    <row r="12" spans="1:6" ht="26" x14ac:dyDescent="0.35">
      <c r="A12" s="10" t="s">
        <v>281</v>
      </c>
      <c r="B12" s="4" t="str">
        <f>CLEAN(A12)</f>
        <v>Family GroupChat</v>
      </c>
    </row>
    <row r="13" spans="1:6" ht="26" x14ac:dyDescent="0.35">
      <c r="A13" s="10" t="s">
        <v>282</v>
      </c>
      <c r="B13" s="4" t="str">
        <f>CLEAN(A13)</f>
        <v>OfficeUpdates</v>
      </c>
    </row>
    <row r="14" spans="1:6" ht="26" x14ac:dyDescent="0.35">
      <c r="A14" s="10" t="s">
        <v>283</v>
      </c>
      <c r="B14" s="4" t="str">
        <f>CLEAN(A14)</f>
        <v>CollegeFriends</v>
      </c>
    </row>
    <row r="17" spans="1:6" x14ac:dyDescent="0.35">
      <c r="A17" s="24" t="s">
        <v>284</v>
      </c>
      <c r="B17" s="24"/>
      <c r="C17" s="24"/>
      <c r="D17" s="24"/>
      <c r="E17" s="24"/>
      <c r="F17" s="24"/>
    </row>
    <row r="18" spans="1:6" x14ac:dyDescent="0.35">
      <c r="A18" s="1" t="s">
        <v>285</v>
      </c>
      <c r="B18" s="1" t="s">
        <v>286</v>
      </c>
    </row>
    <row r="19" spans="1:6" x14ac:dyDescent="0.35">
      <c r="A19" s="4" t="s">
        <v>287</v>
      </c>
      <c r="B19" s="4" t="str">
        <f>SUBSTITUTE(A19,"_"," ")</f>
        <v>Shape of You</v>
      </c>
    </row>
    <row r="20" spans="1:6" x14ac:dyDescent="0.35">
      <c r="A20" s="4" t="s">
        <v>288</v>
      </c>
      <c r="B20" s="4" t="str">
        <f>SUBSTITUTE(A20,"_"," ")</f>
        <v>Blinding Lights</v>
      </c>
    </row>
    <row r="21" spans="1:6" x14ac:dyDescent="0.35">
      <c r="A21" s="4" t="s">
        <v>289</v>
      </c>
      <c r="B21" s="4" t="str">
        <f>SUBSTITUTE(A21,"_"," ")</f>
        <v>Kesariya Reprise</v>
      </c>
    </row>
    <row r="24" spans="1:6" x14ac:dyDescent="0.35">
      <c r="A24" s="24" t="s">
        <v>290</v>
      </c>
      <c r="B24" s="24"/>
      <c r="C24" s="24"/>
      <c r="D24" s="24"/>
      <c r="E24" s="24"/>
      <c r="F24" s="24"/>
    </row>
    <row r="25" spans="1:6" x14ac:dyDescent="0.35">
      <c r="A25" s="1" t="s">
        <v>291</v>
      </c>
      <c r="B25" s="1" t="s">
        <v>292</v>
      </c>
    </row>
    <row r="26" spans="1:6" x14ac:dyDescent="0.35">
      <c r="A26" s="4" t="s">
        <v>293</v>
      </c>
      <c r="B26" s="4" t="str">
        <f>PROPER(TRIM(CLEAN(A26)))</f>
        <v>Vishal Patel</v>
      </c>
    </row>
    <row r="27" spans="1:6" x14ac:dyDescent="0.35">
      <c r="A27" s="4" t="s">
        <v>294</v>
      </c>
      <c r="B27" s="4" t="str">
        <f>PROPER(TRIM(CLEAN(A27)))</f>
        <v>Ankur Shah</v>
      </c>
    </row>
    <row r="28" spans="1:6" x14ac:dyDescent="0.35">
      <c r="A28" s="4" t="s">
        <v>295</v>
      </c>
      <c r="B28" s="4" t="str">
        <f>PROPER(TRIM(CLEAN(A28)))</f>
        <v>Mehul Vora</v>
      </c>
    </row>
    <row r="31" spans="1:6" x14ac:dyDescent="0.35">
      <c r="A31" s="24" t="s">
        <v>296</v>
      </c>
      <c r="B31" s="24"/>
      <c r="C31" s="24"/>
      <c r="D31" s="24"/>
      <c r="E31" s="24"/>
      <c r="F31" s="24"/>
    </row>
    <row r="32" spans="1:6" x14ac:dyDescent="0.35">
      <c r="A32" s="33" t="s">
        <v>297</v>
      </c>
      <c r="B32" s="33" t="s">
        <v>298</v>
      </c>
      <c r="C32" s="33" t="s">
        <v>299</v>
      </c>
    </row>
    <row r="33" spans="1:3" x14ac:dyDescent="0.35">
      <c r="A33" s="34" t="s">
        <v>300</v>
      </c>
      <c r="B33" s="34" t="str">
        <f>LOWER(A33)</f>
        <v>wireless bluetooth headphones</v>
      </c>
      <c r="C33" s="34" t="str">
        <f>PROPER(A33)</f>
        <v>Wireless Bluetooth Headphones</v>
      </c>
    </row>
    <row r="34" spans="1:3" x14ac:dyDescent="0.35">
      <c r="A34" s="34" t="s">
        <v>301</v>
      </c>
      <c r="B34" s="34" t="str">
        <f>LOWER(A34)</f>
        <v>stainless steel water bottle</v>
      </c>
      <c r="C34" s="34" t="str">
        <f>PROPER(A34)</f>
        <v>Stainless Steel Water Bottle</v>
      </c>
    </row>
    <row r="35" spans="1:3" x14ac:dyDescent="0.35">
      <c r="A35" s="34" t="s">
        <v>302</v>
      </c>
      <c r="B35" s="34" t="str">
        <f>LOWER(A35)</f>
        <v>cotton casual shirt</v>
      </c>
      <c r="C35" s="34" t="str">
        <f>PROPER(A35)</f>
        <v>Cotton Casual Shirt</v>
      </c>
    </row>
  </sheetData>
  <mergeCells count="6">
    <mergeCell ref="A31:F31"/>
    <mergeCell ref="A1:F1"/>
    <mergeCell ref="A3:F3"/>
    <mergeCell ref="A10:F10"/>
    <mergeCell ref="A17:F17"/>
    <mergeCell ref="A24:F2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showGridLines="0" zoomScaleNormal="100" workbookViewId="0"/>
  </sheetViews>
  <sheetFormatPr defaultColWidth="8.6328125" defaultRowHeight="14.5" x14ac:dyDescent="0.35"/>
  <cols>
    <col min="1" max="1" width="30" customWidth="1"/>
    <col min="2" max="4" width="20" customWidth="1"/>
  </cols>
  <sheetData>
    <row r="1" spans="1:6" ht="18" x14ac:dyDescent="0.4">
      <c r="A1" s="26" t="s">
        <v>303</v>
      </c>
      <c r="B1" s="26"/>
      <c r="C1" s="26"/>
      <c r="D1" s="26"/>
      <c r="E1" s="26"/>
      <c r="F1" s="26"/>
    </row>
    <row r="3" spans="1:6" x14ac:dyDescent="0.35">
      <c r="A3" s="4" t="s">
        <v>304</v>
      </c>
      <c r="B3" s="11">
        <f ca="1">TODAY()</f>
        <v>46222</v>
      </c>
    </row>
    <row r="4" spans="1:6" x14ac:dyDescent="0.35">
      <c r="A4" s="4" t="s">
        <v>305</v>
      </c>
      <c r="B4" s="12">
        <f ca="1">NOW()</f>
        <v>46222.278334953706</v>
      </c>
    </row>
    <row r="6" spans="1:6" x14ac:dyDescent="0.35">
      <c r="A6" s="24" t="s">
        <v>306</v>
      </c>
      <c r="B6" s="24"/>
      <c r="C6" s="24"/>
      <c r="D6" s="24"/>
      <c r="E6" s="24"/>
      <c r="F6" s="24"/>
    </row>
    <row r="7" spans="1:6" x14ac:dyDescent="0.35">
      <c r="A7" s="1" t="s">
        <v>307</v>
      </c>
      <c r="B7" s="1" t="s">
        <v>308</v>
      </c>
      <c r="C7" s="1" t="s">
        <v>309</v>
      </c>
      <c r="D7" s="1" t="s">
        <v>310</v>
      </c>
    </row>
    <row r="8" spans="1:6" x14ac:dyDescent="0.35">
      <c r="A8" s="11">
        <v>35927</v>
      </c>
      <c r="B8" s="4">
        <f>YEAR(A8)</f>
        <v>1998</v>
      </c>
      <c r="C8" s="4">
        <f>MONTH(A8)</f>
        <v>5</v>
      </c>
      <c r="D8" s="4">
        <f>DAY(A8)</f>
        <v>12</v>
      </c>
    </row>
    <row r="9" spans="1:6" x14ac:dyDescent="0.35">
      <c r="A9" s="11">
        <v>36833</v>
      </c>
      <c r="B9" s="4">
        <f>YEAR(A9)</f>
        <v>2000</v>
      </c>
      <c r="C9" s="4">
        <f>MONTH(A9)</f>
        <v>11</v>
      </c>
      <c r="D9" s="4">
        <f>DAY(A9)</f>
        <v>3</v>
      </c>
    </row>
    <row r="10" spans="1:6" x14ac:dyDescent="0.35">
      <c r="A10" s="11">
        <v>35489</v>
      </c>
      <c r="B10" s="4">
        <f>YEAR(A10)</f>
        <v>1997</v>
      </c>
      <c r="C10" s="4">
        <f>MONTH(A10)</f>
        <v>2</v>
      </c>
      <c r="D10" s="4">
        <f>DAY(A10)</f>
        <v>28</v>
      </c>
    </row>
    <row r="11" spans="1:6" x14ac:dyDescent="0.35">
      <c r="A11" s="11">
        <v>36391</v>
      </c>
      <c r="B11" s="4">
        <f>YEAR(A11)</f>
        <v>1999</v>
      </c>
      <c r="C11" s="4">
        <f>MONTH(A11)</f>
        <v>8</v>
      </c>
      <c r="D11" s="4">
        <f>DAY(A11)</f>
        <v>19</v>
      </c>
    </row>
    <row r="12" spans="1:6" x14ac:dyDescent="0.35">
      <c r="A12" s="11">
        <v>37250</v>
      </c>
      <c r="B12" s="4">
        <f>YEAR(A12)</f>
        <v>2001</v>
      </c>
      <c r="C12" s="4">
        <f>MONTH(A12)</f>
        <v>12</v>
      </c>
      <c r="D12" s="4">
        <f>DAY(A12)</f>
        <v>25</v>
      </c>
    </row>
    <row r="15" spans="1:6" x14ac:dyDescent="0.35">
      <c r="A15" s="24" t="s">
        <v>311</v>
      </c>
      <c r="B15" s="24"/>
      <c r="C15" s="24"/>
      <c r="D15" s="24"/>
      <c r="E15" s="24"/>
      <c r="F15" s="24"/>
    </row>
    <row r="16" spans="1:6" ht="28" x14ac:dyDescent="0.35">
      <c r="A16" s="1" t="s">
        <v>312</v>
      </c>
      <c r="B16" s="1" t="s">
        <v>313</v>
      </c>
    </row>
    <row r="17" spans="1:6" x14ac:dyDescent="0.35">
      <c r="A17" s="11">
        <v>46204</v>
      </c>
      <c r="B17" s="4">
        <f ca="1">NETWORKDAYS(A17,TODAY())</f>
        <v>13</v>
      </c>
    </row>
    <row r="18" spans="1:6" x14ac:dyDescent="0.35">
      <c r="A18" s="11">
        <v>46211</v>
      </c>
      <c r="B18" s="4">
        <f ca="1">NETWORKDAYS(A18,TODAY())</f>
        <v>8</v>
      </c>
    </row>
    <row r="19" spans="1:6" x14ac:dyDescent="0.35">
      <c r="A19" s="11">
        <v>46218</v>
      </c>
      <c r="B19" s="4">
        <f ca="1">NETWORKDAYS(A19,TODAY())</f>
        <v>3</v>
      </c>
    </row>
    <row r="20" spans="1:6" x14ac:dyDescent="0.35">
      <c r="A20" s="11">
        <v>46225</v>
      </c>
      <c r="B20" s="4">
        <f ca="1">NETWORKDAYS(A20,TODAY())</f>
        <v>-3</v>
      </c>
    </row>
    <row r="21" spans="1:6" x14ac:dyDescent="0.35">
      <c r="A21" s="11">
        <v>46232</v>
      </c>
      <c r="B21" s="4">
        <f ca="1">NETWORKDAYS(A21,TODAY())</f>
        <v>-8</v>
      </c>
    </row>
    <row r="24" spans="1:6" x14ac:dyDescent="0.35">
      <c r="A24" s="24" t="s">
        <v>314</v>
      </c>
      <c r="B24" s="24"/>
      <c r="C24" s="24"/>
      <c r="D24" s="24"/>
      <c r="E24" s="24"/>
      <c r="F24" s="24"/>
    </row>
    <row r="25" spans="1:6" ht="28" x14ac:dyDescent="0.35">
      <c r="A25" s="1" t="s">
        <v>315</v>
      </c>
      <c r="B25" s="1" t="s">
        <v>316</v>
      </c>
      <c r="C25" s="1" t="s">
        <v>317</v>
      </c>
    </row>
    <row r="26" spans="1:6" x14ac:dyDescent="0.35">
      <c r="A26" s="11">
        <v>46174</v>
      </c>
      <c r="B26" s="11">
        <v>46178</v>
      </c>
      <c r="C26" s="4">
        <f>DATEDIF(A26,B26,"d")</f>
        <v>4</v>
      </c>
    </row>
    <row r="27" spans="1:6" x14ac:dyDescent="0.35">
      <c r="A27" s="11">
        <v>46183</v>
      </c>
      <c r="B27" s="11">
        <v>46187</v>
      </c>
      <c r="C27" s="4">
        <f>DATEDIF(A27,B27,"d")</f>
        <v>4</v>
      </c>
    </row>
    <row r="28" spans="1:6" x14ac:dyDescent="0.35">
      <c r="A28" s="11">
        <v>46193</v>
      </c>
      <c r="B28" s="11">
        <v>46194</v>
      </c>
      <c r="C28" s="4">
        <f>DATEDIF(A28,B28,"d")</f>
        <v>1</v>
      </c>
    </row>
    <row r="29" spans="1:6" x14ac:dyDescent="0.35">
      <c r="A29" s="11">
        <v>46204</v>
      </c>
      <c r="B29" s="11">
        <v>46212</v>
      </c>
      <c r="C29" s="4">
        <f>DATEDIF(A29,B29,"d")</f>
        <v>8</v>
      </c>
    </row>
    <row r="32" spans="1:6" x14ac:dyDescent="0.35">
      <c r="A32" s="24" t="s">
        <v>318</v>
      </c>
      <c r="B32" s="24"/>
      <c r="C32" s="24"/>
      <c r="D32" s="24"/>
      <c r="E32" s="24"/>
      <c r="F32" s="24"/>
    </row>
    <row r="33" spans="1:2" x14ac:dyDescent="0.35">
      <c r="A33" s="4" t="s">
        <v>319</v>
      </c>
      <c r="B33" s="11">
        <v>44270</v>
      </c>
    </row>
    <row r="34" spans="1:2" x14ac:dyDescent="0.35">
      <c r="A34" s="4" t="s">
        <v>320</v>
      </c>
      <c r="B34" s="11">
        <f ca="1">EOMONTH(TODAY(),0)</f>
        <v>46234</v>
      </c>
    </row>
    <row r="35" spans="1:2" x14ac:dyDescent="0.35">
      <c r="A35" s="4" t="s">
        <v>321</v>
      </c>
      <c r="B35" s="4">
        <f ca="1">DATEDIF(B33,B34,"m")</f>
        <v>64</v>
      </c>
    </row>
  </sheetData>
  <mergeCells count="5">
    <mergeCell ref="A1:F1"/>
    <mergeCell ref="A6:F6"/>
    <mergeCell ref="A15:F15"/>
    <mergeCell ref="A24:F24"/>
    <mergeCell ref="A32:F3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showGridLines="0" zoomScaleNormal="100" workbookViewId="0"/>
  </sheetViews>
  <sheetFormatPr defaultColWidth="8.6328125" defaultRowHeight="14.5" x14ac:dyDescent="0.35"/>
  <cols>
    <col min="1" max="4" width="18" customWidth="1"/>
  </cols>
  <sheetData>
    <row r="1" spans="1:6" ht="18" x14ac:dyDescent="0.4">
      <c r="A1" s="26" t="s">
        <v>322</v>
      </c>
      <c r="B1" s="26"/>
      <c r="C1" s="26"/>
      <c r="D1" s="26"/>
      <c r="E1" s="26"/>
      <c r="F1" s="26"/>
    </row>
    <row r="3" spans="1:6" x14ac:dyDescent="0.35">
      <c r="A3" s="24" t="s">
        <v>323</v>
      </c>
      <c r="B3" s="24"/>
      <c r="C3" s="24"/>
      <c r="D3" s="24"/>
      <c r="E3" s="24"/>
      <c r="F3" s="24"/>
    </row>
    <row r="4" spans="1:6" ht="28" x14ac:dyDescent="0.35">
      <c r="A4" s="1" t="s">
        <v>324</v>
      </c>
      <c r="B4" s="1" t="s">
        <v>325</v>
      </c>
    </row>
    <row r="5" spans="1:6" x14ac:dyDescent="0.35">
      <c r="A5" s="4">
        <v>320</v>
      </c>
      <c r="B5" s="4" t="str">
        <f>IF(A5&gt;=500,"High Value","Regular")</f>
        <v>Regular</v>
      </c>
    </row>
    <row r="6" spans="1:6" x14ac:dyDescent="0.35">
      <c r="A6" s="4">
        <v>899</v>
      </c>
      <c r="B6" s="4" t="str">
        <f>IF(A6&gt;=500,"High Value","Regular")</f>
        <v>High Value</v>
      </c>
    </row>
    <row r="7" spans="1:6" x14ac:dyDescent="0.35">
      <c r="A7" s="4">
        <v>500</v>
      </c>
      <c r="B7" s="4" t="str">
        <f>IF(A7&gt;=500,"High Value","Regular")</f>
        <v>High Value</v>
      </c>
    </row>
    <row r="8" spans="1:6" x14ac:dyDescent="0.35">
      <c r="A8" s="4">
        <v>1450</v>
      </c>
      <c r="B8" s="4" t="str">
        <f>IF(A8&gt;=500,"High Value","Regular")</f>
        <v>High Value</v>
      </c>
    </row>
    <row r="9" spans="1:6" x14ac:dyDescent="0.35">
      <c r="A9" s="4">
        <v>210</v>
      </c>
      <c r="B9" s="4" t="str">
        <f>IF(A9&gt;=500,"High Value","Regular")</f>
        <v>Regular</v>
      </c>
    </row>
    <row r="12" spans="1:6" x14ac:dyDescent="0.35">
      <c r="A12" s="24" t="s">
        <v>326</v>
      </c>
      <c r="B12" s="24"/>
      <c r="C12" s="24"/>
      <c r="D12" s="24"/>
      <c r="E12" s="24"/>
      <c r="F12" s="24"/>
    </row>
    <row r="13" spans="1:6" x14ac:dyDescent="0.35">
      <c r="A13" s="1" t="s">
        <v>327</v>
      </c>
      <c r="B13" s="1" t="s">
        <v>328</v>
      </c>
      <c r="C13" s="1" t="s">
        <v>329</v>
      </c>
    </row>
    <row r="14" spans="1:6" x14ac:dyDescent="0.35">
      <c r="A14" s="4" t="s">
        <v>330</v>
      </c>
      <c r="B14" s="4">
        <v>1145</v>
      </c>
      <c r="C14" s="4" t="str">
        <f>IF(B14&gt;=1000,"Star",IF(B14&gt;=700,"Pro",IF(B14&gt;=400,"Rising","Newbie")))</f>
        <v>Star</v>
      </c>
    </row>
    <row r="15" spans="1:6" x14ac:dyDescent="0.35">
      <c r="A15" s="4" t="s">
        <v>331</v>
      </c>
      <c r="B15" s="4">
        <v>820</v>
      </c>
      <c r="C15" s="4" t="str">
        <f>IF(B15&gt;=1000,"Star",IF(B15&gt;=700,"Pro",IF(B15&gt;=400,"Rising","Newbie")))</f>
        <v>Pro</v>
      </c>
    </row>
    <row r="16" spans="1:6" x14ac:dyDescent="0.35">
      <c r="A16" s="4" t="s">
        <v>332</v>
      </c>
      <c r="B16" s="4">
        <v>560</v>
      </c>
      <c r="C16" s="4" t="str">
        <f>IF(B16&gt;=1000,"Star",IF(B16&gt;=700,"Pro",IF(B16&gt;=400,"Rising","Newbie")))</f>
        <v>Rising</v>
      </c>
    </row>
    <row r="17" spans="1:6" x14ac:dyDescent="0.35">
      <c r="A17" s="4" t="s">
        <v>333</v>
      </c>
      <c r="B17" s="4">
        <v>310</v>
      </c>
      <c r="C17" s="4" t="str">
        <f>IF(B17&gt;=1000,"Star",IF(B17&gt;=700,"Pro",IF(B17&gt;=400,"Rising","Newbie")))</f>
        <v>Newbie</v>
      </c>
    </row>
    <row r="18" spans="1:6" x14ac:dyDescent="0.35">
      <c r="A18" s="4" t="s">
        <v>334</v>
      </c>
      <c r="B18" s="4">
        <v>990</v>
      </c>
      <c r="C18" s="4" t="str">
        <f>IF(B18&gt;=1000,"Star",IF(B18&gt;=700,"Pro",IF(B18&gt;=400,"Rising","Newbie")))</f>
        <v>Pro</v>
      </c>
    </row>
    <row r="21" spans="1:6" x14ac:dyDescent="0.35">
      <c r="A21" s="24" t="s">
        <v>335</v>
      </c>
      <c r="B21" s="24"/>
      <c r="C21" s="24"/>
      <c r="D21" s="24"/>
      <c r="E21" s="24"/>
      <c r="F21" s="24"/>
    </row>
    <row r="22" spans="1:6" x14ac:dyDescent="0.35">
      <c r="A22" s="1" t="s">
        <v>91</v>
      </c>
      <c r="B22" s="1" t="s">
        <v>336</v>
      </c>
      <c r="C22" s="1" t="s">
        <v>337</v>
      </c>
    </row>
    <row r="23" spans="1:6" x14ac:dyDescent="0.35">
      <c r="A23" s="4" t="s">
        <v>338</v>
      </c>
      <c r="B23" s="4" t="s">
        <v>164</v>
      </c>
      <c r="C23" s="4" t="str">
        <f>IF(AND(A23="Prepaid",B23="Delivered"),"Eligible","Not Eligible")</f>
        <v>Eligible</v>
      </c>
    </row>
    <row r="24" spans="1:6" x14ac:dyDescent="0.35">
      <c r="A24" s="4" t="s">
        <v>167</v>
      </c>
      <c r="B24" s="4" t="s">
        <v>164</v>
      </c>
      <c r="C24" s="4" t="str">
        <f>IF(AND(A24="Prepaid",B24="Delivered"),"Eligible","Not Eligible")</f>
        <v>Not Eligible</v>
      </c>
    </row>
    <row r="25" spans="1:6" x14ac:dyDescent="0.35">
      <c r="A25" s="4" t="s">
        <v>338</v>
      </c>
      <c r="B25" s="4" t="s">
        <v>171</v>
      </c>
      <c r="C25" s="4" t="str">
        <f>IF(AND(A25="Prepaid",B25="Delivered"),"Eligible","Not Eligible")</f>
        <v>Not Eligible</v>
      </c>
    </row>
    <row r="26" spans="1:6" x14ac:dyDescent="0.35">
      <c r="A26" s="4" t="s">
        <v>338</v>
      </c>
      <c r="B26" s="4" t="s">
        <v>164</v>
      </c>
      <c r="C26" s="4" t="str">
        <f>IF(AND(A26="Prepaid",B26="Delivered"),"Eligible","Not Eligible")</f>
        <v>Eligible</v>
      </c>
    </row>
    <row r="29" spans="1:6" x14ac:dyDescent="0.35">
      <c r="A29" s="24" t="s">
        <v>339</v>
      </c>
      <c r="B29" s="24"/>
      <c r="C29" s="24"/>
      <c r="D29" s="24"/>
      <c r="E29" s="24"/>
      <c r="F29" s="24"/>
    </row>
    <row r="30" spans="1:6" x14ac:dyDescent="0.35">
      <c r="A30" s="1" t="s">
        <v>12</v>
      </c>
      <c r="B30" s="1" t="s">
        <v>340</v>
      </c>
      <c r="C30" s="1" t="s">
        <v>341</v>
      </c>
      <c r="D30" s="1" t="s">
        <v>342</v>
      </c>
    </row>
    <row r="31" spans="1:6" x14ac:dyDescent="0.35">
      <c r="A31" s="4" t="s">
        <v>23</v>
      </c>
      <c r="B31" s="13" t="b">
        <f>TRUE()</f>
        <v>1</v>
      </c>
      <c r="C31" s="13" t="b">
        <f>FALSE()</f>
        <v>0</v>
      </c>
      <c r="D31" s="4" t="str">
        <f>IF(OR(B31,C31),"Quick Access","Standard")</f>
        <v>Quick Access</v>
      </c>
    </row>
    <row r="32" spans="1:6" x14ac:dyDescent="0.35">
      <c r="A32" s="4" t="s">
        <v>343</v>
      </c>
      <c r="B32" s="13" t="b">
        <f>FALSE()</f>
        <v>0</v>
      </c>
      <c r="C32" s="13" t="b">
        <f>FALSE()</f>
        <v>0</v>
      </c>
      <c r="D32" s="4" t="str">
        <f>IF(OR(B32,C32),"Quick Access","Standard")</f>
        <v>Standard</v>
      </c>
    </row>
    <row r="33" spans="1:6" x14ac:dyDescent="0.35">
      <c r="A33" s="4" t="s">
        <v>344</v>
      </c>
      <c r="B33" s="13" t="b">
        <f>FALSE()</f>
        <v>0</v>
      </c>
      <c r="C33" s="13" t="b">
        <f>TRUE()</f>
        <v>1</v>
      </c>
      <c r="D33" s="4" t="str">
        <f>IF(OR(B33,C33),"Quick Access","Standard")</f>
        <v>Quick Access</v>
      </c>
    </row>
    <row r="34" spans="1:6" x14ac:dyDescent="0.35">
      <c r="A34" s="4" t="s">
        <v>345</v>
      </c>
      <c r="B34" s="13" t="b">
        <f>TRUE()</f>
        <v>1</v>
      </c>
      <c r="C34" s="13" t="b">
        <f>TRUE()</f>
        <v>1</v>
      </c>
      <c r="D34" s="4" t="str">
        <f>IF(OR(B34,C34),"Quick Access","Standard")</f>
        <v>Quick Access</v>
      </c>
    </row>
    <row r="37" spans="1:6" x14ac:dyDescent="0.35">
      <c r="A37" s="24" t="s">
        <v>346</v>
      </c>
      <c r="B37" s="24"/>
      <c r="C37" s="24"/>
      <c r="D37" s="24"/>
      <c r="E37" s="24"/>
      <c r="F37" s="24"/>
    </row>
    <row r="38" spans="1:6" x14ac:dyDescent="0.35">
      <c r="A38" s="1" t="s">
        <v>347</v>
      </c>
      <c r="B38" s="1" t="s">
        <v>348</v>
      </c>
      <c r="C38" s="1" t="s">
        <v>349</v>
      </c>
    </row>
    <row r="39" spans="1:6" x14ac:dyDescent="0.35">
      <c r="A39" s="13" t="b">
        <f>TRUE()</f>
        <v>1</v>
      </c>
      <c r="B39" s="13" t="b">
        <f>FALSE()</f>
        <v>0</v>
      </c>
      <c r="C39" s="4" t="str">
        <f>IF(_xlfn.XOR(A39,B39),"Suspicious","Normal")</f>
        <v>Suspicious</v>
      </c>
    </row>
    <row r="40" spans="1:6" x14ac:dyDescent="0.35">
      <c r="A40" s="13" t="b">
        <f>TRUE()</f>
        <v>1</v>
      </c>
      <c r="B40" s="13" t="b">
        <f>TRUE()</f>
        <v>1</v>
      </c>
      <c r="C40" s="4" t="str">
        <f>IF(_xlfn.XOR(A40,B40),"Suspicious","Normal")</f>
        <v>Normal</v>
      </c>
    </row>
    <row r="41" spans="1:6" x14ac:dyDescent="0.35">
      <c r="A41" s="13" t="b">
        <f>FALSE()</f>
        <v>0</v>
      </c>
      <c r="B41" s="13" t="b">
        <f>FALSE()</f>
        <v>0</v>
      </c>
      <c r="C41" s="4" t="str">
        <f>IF(_xlfn.XOR(A41,B41),"Suspicious","Normal")</f>
        <v>Normal</v>
      </c>
    </row>
    <row r="42" spans="1:6" x14ac:dyDescent="0.35">
      <c r="A42" s="13" t="b">
        <f>FALSE()</f>
        <v>0</v>
      </c>
      <c r="B42" s="13" t="b">
        <f>TRUE()</f>
        <v>1</v>
      </c>
      <c r="C42" s="4" t="str">
        <f>IF(_xlfn.XOR(A42,B42),"Suspicious","Normal")</f>
        <v>Suspicious</v>
      </c>
    </row>
  </sheetData>
  <mergeCells count="6">
    <mergeCell ref="A37:F37"/>
    <mergeCell ref="A1:F1"/>
    <mergeCell ref="A3:F3"/>
    <mergeCell ref="A12:F12"/>
    <mergeCell ref="A21:F21"/>
    <mergeCell ref="A29:F29"/>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showGridLines="0" topLeftCell="A43" zoomScaleNormal="100" workbookViewId="0">
      <selection sqref="A1:F1"/>
    </sheetView>
  </sheetViews>
  <sheetFormatPr defaultColWidth="8.6328125" defaultRowHeight="14.5" x14ac:dyDescent="0.35"/>
  <cols>
    <col min="1" max="1" width="22" customWidth="1"/>
    <col min="2" max="4" width="16" customWidth="1"/>
  </cols>
  <sheetData>
    <row r="1" spans="1:6" ht="18" x14ac:dyDescent="0.4">
      <c r="A1" s="26" t="s">
        <v>350</v>
      </c>
      <c r="B1" s="26"/>
      <c r="C1" s="26"/>
      <c r="D1" s="26"/>
      <c r="E1" s="26"/>
      <c r="F1" s="26"/>
    </row>
    <row r="3" spans="1:6" x14ac:dyDescent="0.35">
      <c r="A3" s="24" t="s">
        <v>351</v>
      </c>
      <c r="B3" s="24"/>
      <c r="C3" s="24"/>
      <c r="D3" s="24"/>
      <c r="E3" s="24"/>
      <c r="F3" s="24"/>
    </row>
    <row r="4" spans="1:6" x14ac:dyDescent="0.35">
      <c r="A4" s="1" t="s">
        <v>249</v>
      </c>
      <c r="B4" s="1" t="s">
        <v>36</v>
      </c>
    </row>
    <row r="5" spans="1:6" x14ac:dyDescent="0.35">
      <c r="A5" s="2" t="s">
        <v>352</v>
      </c>
      <c r="B5" s="2">
        <v>1499</v>
      </c>
    </row>
    <row r="6" spans="1:6" x14ac:dyDescent="0.35">
      <c r="A6" s="2" t="s">
        <v>353</v>
      </c>
      <c r="B6" s="2">
        <v>2999</v>
      </c>
    </row>
    <row r="7" spans="1:6" x14ac:dyDescent="0.35">
      <c r="A7" s="2" t="s">
        <v>354</v>
      </c>
      <c r="B7" s="2">
        <v>899</v>
      </c>
    </row>
    <row r="8" spans="1:6" x14ac:dyDescent="0.35">
      <c r="A8" s="2" t="s">
        <v>355</v>
      </c>
      <c r="B8" s="2">
        <v>1799</v>
      </c>
    </row>
    <row r="9" spans="1:6" x14ac:dyDescent="0.35">
      <c r="A9" s="2" t="s">
        <v>356</v>
      </c>
      <c r="B9" s="2">
        <v>249</v>
      </c>
    </row>
    <row r="10" spans="1:6" x14ac:dyDescent="0.35">
      <c r="A10" s="2" t="s">
        <v>357</v>
      </c>
      <c r="B10" s="2">
        <v>1199</v>
      </c>
    </row>
    <row r="11" spans="1:6" x14ac:dyDescent="0.35">
      <c r="A11" s="2" t="s">
        <v>358</v>
      </c>
      <c r="B11" s="2">
        <v>699</v>
      </c>
    </row>
    <row r="12" spans="1:6" x14ac:dyDescent="0.35">
      <c r="A12" s="2" t="s">
        <v>359</v>
      </c>
      <c r="B12" s="2">
        <v>299</v>
      </c>
    </row>
    <row r="13" spans="1:6" x14ac:dyDescent="0.35">
      <c r="A13" s="2" t="s">
        <v>360</v>
      </c>
      <c r="B13" s="2">
        <v>649</v>
      </c>
    </row>
    <row r="14" spans="1:6" x14ac:dyDescent="0.35">
      <c r="A14" s="2" t="s">
        <v>361</v>
      </c>
      <c r="B14" s="2">
        <v>4999</v>
      </c>
    </row>
    <row r="17" spans="1:8" x14ac:dyDescent="0.35">
      <c r="A17" s="4" t="s">
        <v>362</v>
      </c>
      <c r="B17" s="4" t="s">
        <v>355</v>
      </c>
    </row>
    <row r="18" spans="1:8" x14ac:dyDescent="0.35">
      <c r="A18" s="4" t="s">
        <v>363</v>
      </c>
      <c r="B18" s="4">
        <f>VLOOKUP(B17,A5:B15,2,FALSE())</f>
        <v>1799</v>
      </c>
    </row>
    <row r="21" spans="1:8" x14ac:dyDescent="0.35">
      <c r="A21" s="24" t="s">
        <v>364</v>
      </c>
      <c r="B21" s="24"/>
      <c r="C21" s="24"/>
      <c r="D21" s="24"/>
      <c r="E21" s="24"/>
      <c r="F21" s="24"/>
    </row>
    <row r="22" spans="1:8" x14ac:dyDescent="0.35">
      <c r="A22" s="9" t="s">
        <v>365</v>
      </c>
      <c r="B22" s="9" t="s">
        <v>366</v>
      </c>
      <c r="C22" s="9" t="s">
        <v>367</v>
      </c>
      <c r="D22" s="9" t="s">
        <v>368</v>
      </c>
      <c r="E22" s="9" t="s">
        <v>369</v>
      </c>
      <c r="F22" s="9" t="s">
        <v>370</v>
      </c>
      <c r="G22" s="9" t="s">
        <v>371</v>
      </c>
      <c r="H22" s="9" t="s">
        <v>372</v>
      </c>
    </row>
    <row r="23" spans="1:8" x14ac:dyDescent="0.35">
      <c r="A23" s="4">
        <v>4.3</v>
      </c>
      <c r="B23" s="4">
        <v>4.5999999999999996</v>
      </c>
      <c r="C23" s="4">
        <v>4.0999999999999996</v>
      </c>
      <c r="D23" s="4">
        <v>4.4000000000000004</v>
      </c>
      <c r="E23" s="4">
        <v>4.2</v>
      </c>
      <c r="F23" s="4">
        <v>4.5</v>
      </c>
      <c r="G23" s="4">
        <v>4</v>
      </c>
      <c r="H23" s="4">
        <v>4.3</v>
      </c>
    </row>
    <row r="25" spans="1:8" x14ac:dyDescent="0.35">
      <c r="A25" s="4" t="s">
        <v>373</v>
      </c>
      <c r="B25" s="4" t="s">
        <v>368</v>
      </c>
    </row>
    <row r="26" spans="1:8" x14ac:dyDescent="0.35">
      <c r="A26" s="4" t="s">
        <v>374</v>
      </c>
      <c r="B26" s="4">
        <f>HLOOKUP(B25,A22:H23,2,FALSE())</f>
        <v>4.4000000000000004</v>
      </c>
    </row>
    <row r="29" spans="1:8" x14ac:dyDescent="0.35">
      <c r="A29" s="24" t="s">
        <v>375</v>
      </c>
      <c r="B29" s="24"/>
      <c r="C29" s="24"/>
      <c r="D29" s="24"/>
      <c r="E29" s="24"/>
      <c r="F29" s="24"/>
    </row>
    <row r="30" spans="1:8" x14ac:dyDescent="0.35">
      <c r="A30" s="1" t="s">
        <v>376</v>
      </c>
      <c r="B30" s="1" t="s">
        <v>377</v>
      </c>
    </row>
    <row r="31" spans="1:8" x14ac:dyDescent="0.35">
      <c r="A31" s="2" t="s">
        <v>378</v>
      </c>
      <c r="B31" s="2" t="s">
        <v>379</v>
      </c>
    </row>
    <row r="32" spans="1:8" x14ac:dyDescent="0.35">
      <c r="A32" s="2" t="s">
        <v>380</v>
      </c>
      <c r="B32" s="2" t="s">
        <v>381</v>
      </c>
    </row>
    <row r="33" spans="1:4" x14ac:dyDescent="0.35">
      <c r="A33" s="2" t="s">
        <v>382</v>
      </c>
      <c r="B33" s="2" t="s">
        <v>383</v>
      </c>
    </row>
    <row r="34" spans="1:4" x14ac:dyDescent="0.35">
      <c r="A34" s="2" t="s">
        <v>384</v>
      </c>
      <c r="B34" s="2" t="s">
        <v>385</v>
      </c>
    </row>
    <row r="35" spans="1:4" x14ac:dyDescent="0.35">
      <c r="A35" s="2" t="s">
        <v>386</v>
      </c>
      <c r="B35" s="2" t="s">
        <v>387</v>
      </c>
    </row>
    <row r="36" spans="1:4" x14ac:dyDescent="0.35">
      <c r="A36" s="2" t="s">
        <v>388</v>
      </c>
      <c r="B36" s="2" t="s">
        <v>389</v>
      </c>
    </row>
    <row r="37" spans="1:4" x14ac:dyDescent="0.35">
      <c r="A37" s="2" t="s">
        <v>390</v>
      </c>
      <c r="B37" s="2" t="s">
        <v>391</v>
      </c>
    </row>
    <row r="38" spans="1:4" x14ac:dyDescent="0.35">
      <c r="A38" s="2" t="s">
        <v>392</v>
      </c>
      <c r="B38" s="2" t="s">
        <v>393</v>
      </c>
    </row>
    <row r="39" spans="1:4" x14ac:dyDescent="0.35">
      <c r="A39" s="2" t="s">
        <v>394</v>
      </c>
      <c r="B39" s="2" t="s">
        <v>395</v>
      </c>
    </row>
    <row r="40" spans="1:4" x14ac:dyDescent="0.35">
      <c r="A40" s="2" t="s">
        <v>396</v>
      </c>
      <c r="B40" s="2" t="s">
        <v>397</v>
      </c>
    </row>
    <row r="41" spans="1:4" x14ac:dyDescent="0.35">
      <c r="A41" s="2" t="s">
        <v>398</v>
      </c>
      <c r="B41" s="2" t="s">
        <v>399</v>
      </c>
    </row>
    <row r="42" spans="1:4" x14ac:dyDescent="0.35">
      <c r="A42" s="2" t="s">
        <v>400</v>
      </c>
      <c r="B42" s="2" t="s">
        <v>401</v>
      </c>
    </row>
    <row r="45" spans="1:4" x14ac:dyDescent="0.35">
      <c r="A45" s="4" t="s">
        <v>402</v>
      </c>
    </row>
    <row r="46" spans="1:4" x14ac:dyDescent="0.35">
      <c r="A46" s="4" t="s">
        <v>403</v>
      </c>
      <c r="B46" s="4" t="str">
        <f>VLOOKUP("Kabeer Patel",A31:B43,2,TRUE())</f>
        <v>9876500002</v>
      </c>
    </row>
    <row r="48" spans="1:4" ht="27.75" customHeight="1" x14ac:dyDescent="0.35">
      <c r="A48" s="25" t="s">
        <v>404</v>
      </c>
      <c r="B48" s="25"/>
      <c r="C48" s="25"/>
      <c r="D48" s="25"/>
    </row>
    <row r="51" spans="1:6" x14ac:dyDescent="0.35">
      <c r="A51" s="24" t="s">
        <v>405</v>
      </c>
      <c r="B51" s="24"/>
      <c r="C51" s="24"/>
      <c r="D51" s="24"/>
      <c r="E51" s="24"/>
      <c r="F51" s="24"/>
    </row>
    <row r="52" spans="1:6" x14ac:dyDescent="0.35">
      <c r="A52" s="1" t="s">
        <v>406</v>
      </c>
      <c r="B52" s="1" t="s">
        <v>249</v>
      </c>
      <c r="C52" s="1" t="s">
        <v>36</v>
      </c>
    </row>
    <row r="53" spans="1:6" x14ac:dyDescent="0.35">
      <c r="A53" s="2" t="s">
        <v>407</v>
      </c>
      <c r="B53" s="2" t="s">
        <v>352</v>
      </c>
      <c r="C53" s="2">
        <v>1499</v>
      </c>
    </row>
    <row r="54" spans="1:6" x14ac:dyDescent="0.35">
      <c r="A54" s="2" t="s">
        <v>408</v>
      </c>
      <c r="B54" s="2" t="s">
        <v>353</v>
      </c>
      <c r="C54" s="2">
        <v>2999</v>
      </c>
    </row>
    <row r="55" spans="1:6" x14ac:dyDescent="0.35">
      <c r="A55" s="2" t="s">
        <v>409</v>
      </c>
      <c r="B55" s="2" t="s">
        <v>354</v>
      </c>
      <c r="C55" s="2">
        <v>899</v>
      </c>
    </row>
    <row r="56" spans="1:6" ht="27.75" customHeight="1" x14ac:dyDescent="0.35">
      <c r="A56" s="25" t="s">
        <v>410</v>
      </c>
      <c r="B56" s="25"/>
      <c r="C56" s="25"/>
      <c r="D56" s="25"/>
    </row>
  </sheetData>
  <mergeCells count="7">
    <mergeCell ref="A51:F51"/>
    <mergeCell ref="A56:D56"/>
    <mergeCell ref="A1:F1"/>
    <mergeCell ref="A3:F3"/>
    <mergeCell ref="A21:F21"/>
    <mergeCell ref="A29:F29"/>
    <mergeCell ref="A48:D4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showGridLines="0" topLeftCell="A31" zoomScaleNormal="100" workbookViewId="0">
      <selection sqref="A1:F1"/>
    </sheetView>
  </sheetViews>
  <sheetFormatPr defaultColWidth="8.6328125" defaultRowHeight="14.5" x14ac:dyDescent="0.35"/>
  <cols>
    <col min="1" max="1" width="24" customWidth="1"/>
    <col min="2" max="4" width="16" customWidth="1"/>
  </cols>
  <sheetData>
    <row r="1" spans="1:7" ht="18" x14ac:dyDescent="0.4">
      <c r="A1" s="26" t="s">
        <v>411</v>
      </c>
      <c r="B1" s="26"/>
      <c r="C1" s="26"/>
      <c r="D1" s="26"/>
      <c r="E1" s="26"/>
      <c r="F1" s="26"/>
    </row>
    <row r="2" spans="1:7" ht="27.75" customHeight="1" x14ac:dyDescent="0.35">
      <c r="A2" s="25" t="s">
        <v>412</v>
      </c>
      <c r="B2" s="25"/>
      <c r="C2" s="25"/>
      <c r="D2" s="25"/>
      <c r="E2" s="25"/>
      <c r="F2" s="25"/>
      <c r="G2" s="25"/>
    </row>
    <row r="5" spans="1:7" x14ac:dyDescent="0.35">
      <c r="A5" s="24" t="s">
        <v>413</v>
      </c>
      <c r="B5" s="24"/>
      <c r="C5" s="24"/>
      <c r="D5" s="24"/>
      <c r="E5" s="24"/>
      <c r="F5" s="24"/>
    </row>
    <row r="6" spans="1:7" x14ac:dyDescent="0.35">
      <c r="A6" s="1" t="s">
        <v>414</v>
      </c>
      <c r="B6" s="1" t="s">
        <v>249</v>
      </c>
      <c r="C6" s="1" t="s">
        <v>415</v>
      </c>
      <c r="D6" s="1" t="s">
        <v>36</v>
      </c>
    </row>
    <row r="7" spans="1:7" x14ac:dyDescent="0.35">
      <c r="A7" s="2" t="s">
        <v>416</v>
      </c>
      <c r="B7" s="2" t="s">
        <v>352</v>
      </c>
      <c r="C7" s="2" t="s">
        <v>417</v>
      </c>
      <c r="D7" s="2">
        <v>1499</v>
      </c>
    </row>
    <row r="8" spans="1:7" x14ac:dyDescent="0.35">
      <c r="A8" s="2" t="s">
        <v>418</v>
      </c>
      <c r="B8" s="2" t="s">
        <v>353</v>
      </c>
      <c r="C8" s="2" t="s">
        <v>417</v>
      </c>
      <c r="D8" s="2">
        <v>2999</v>
      </c>
    </row>
    <row r="9" spans="1:7" x14ac:dyDescent="0.35">
      <c r="A9" s="2" t="s">
        <v>419</v>
      </c>
      <c r="B9" s="2" t="s">
        <v>354</v>
      </c>
      <c r="C9" s="2" t="s">
        <v>420</v>
      </c>
      <c r="D9" s="2">
        <v>899</v>
      </c>
    </row>
    <row r="10" spans="1:7" x14ac:dyDescent="0.35">
      <c r="A10" s="2" t="s">
        <v>421</v>
      </c>
      <c r="B10" s="2" t="s">
        <v>355</v>
      </c>
      <c r="C10" s="2" t="s">
        <v>417</v>
      </c>
      <c r="D10" s="2">
        <v>1799</v>
      </c>
    </row>
    <row r="11" spans="1:7" x14ac:dyDescent="0.35">
      <c r="A11" s="2" t="s">
        <v>422</v>
      </c>
      <c r="B11" s="2" t="s">
        <v>356</v>
      </c>
      <c r="C11" s="2" t="s">
        <v>420</v>
      </c>
      <c r="D11" s="2">
        <v>249</v>
      </c>
    </row>
    <row r="12" spans="1:7" x14ac:dyDescent="0.35">
      <c r="A12" s="2" t="s">
        <v>423</v>
      </c>
      <c r="B12" s="2" t="s">
        <v>357</v>
      </c>
      <c r="C12" s="2" t="s">
        <v>417</v>
      </c>
      <c r="D12" s="2">
        <v>1199</v>
      </c>
    </row>
    <row r="13" spans="1:7" x14ac:dyDescent="0.35">
      <c r="A13" s="2" t="s">
        <v>424</v>
      </c>
      <c r="B13" s="2" t="s">
        <v>358</v>
      </c>
      <c r="C13" s="2" t="s">
        <v>417</v>
      </c>
      <c r="D13" s="2">
        <v>699</v>
      </c>
    </row>
    <row r="14" spans="1:7" x14ac:dyDescent="0.35">
      <c r="A14" s="2" t="s">
        <v>425</v>
      </c>
      <c r="B14" s="2" t="s">
        <v>359</v>
      </c>
      <c r="C14" s="2" t="s">
        <v>420</v>
      </c>
      <c r="D14" s="2">
        <v>299</v>
      </c>
    </row>
    <row r="15" spans="1:7" x14ac:dyDescent="0.35">
      <c r="A15" s="2" t="s">
        <v>426</v>
      </c>
      <c r="B15" s="2" t="s">
        <v>360</v>
      </c>
      <c r="C15" s="2" t="s">
        <v>4</v>
      </c>
      <c r="D15" s="2">
        <v>649</v>
      </c>
    </row>
    <row r="16" spans="1:7" x14ac:dyDescent="0.35">
      <c r="A16" s="2" t="s">
        <v>427</v>
      </c>
      <c r="B16" s="2" t="s">
        <v>361</v>
      </c>
      <c r="C16" s="2" t="s">
        <v>4</v>
      </c>
      <c r="D16" s="2">
        <v>4999</v>
      </c>
    </row>
    <row r="19" spans="1:6" x14ac:dyDescent="0.35">
      <c r="A19" s="4" t="s">
        <v>428</v>
      </c>
      <c r="B19" s="4" t="s">
        <v>423</v>
      </c>
    </row>
    <row r="20" spans="1:6" x14ac:dyDescent="0.35">
      <c r="A20" s="4" t="s">
        <v>429</v>
      </c>
      <c r="B20" s="4" t="str">
        <f>INDEX(B7:B17,MATCH(B19,A7:A17,0))</f>
        <v>Power Bank</v>
      </c>
    </row>
    <row r="21" spans="1:6" x14ac:dyDescent="0.35">
      <c r="A21" s="14" t="s">
        <v>430</v>
      </c>
      <c r="B21" s="14" t="s">
        <v>431</v>
      </c>
    </row>
    <row r="24" spans="1:6" x14ac:dyDescent="0.35">
      <c r="A24" s="24" t="s">
        <v>432</v>
      </c>
      <c r="B24" s="24"/>
      <c r="C24" s="24"/>
      <c r="D24" s="24"/>
      <c r="E24" s="24"/>
      <c r="F24" s="24"/>
    </row>
    <row r="25" spans="1:6" ht="28" x14ac:dyDescent="0.35">
      <c r="A25" s="1" t="s">
        <v>43</v>
      </c>
      <c r="B25" s="1" t="s">
        <v>132</v>
      </c>
      <c r="C25" s="1" t="s">
        <v>315</v>
      </c>
      <c r="D25" s="1" t="s">
        <v>124</v>
      </c>
    </row>
    <row r="26" spans="1:6" x14ac:dyDescent="0.35">
      <c r="A26" s="2" t="s">
        <v>433</v>
      </c>
      <c r="B26" s="2" t="s">
        <v>72</v>
      </c>
      <c r="C26" s="3">
        <v>46174</v>
      </c>
      <c r="D26" s="2">
        <v>450</v>
      </c>
    </row>
    <row r="27" spans="1:6" x14ac:dyDescent="0.35">
      <c r="A27" s="2" t="s">
        <v>434</v>
      </c>
      <c r="B27" s="2" t="s">
        <v>72</v>
      </c>
      <c r="C27" s="3">
        <v>46183</v>
      </c>
      <c r="D27" s="2">
        <v>620</v>
      </c>
    </row>
    <row r="28" spans="1:6" x14ac:dyDescent="0.35">
      <c r="A28" s="2" t="s">
        <v>435</v>
      </c>
      <c r="B28" s="2" t="s">
        <v>137</v>
      </c>
      <c r="C28" s="3">
        <v>46176</v>
      </c>
      <c r="D28" s="2">
        <v>380</v>
      </c>
    </row>
    <row r="29" spans="1:6" x14ac:dyDescent="0.35">
      <c r="A29" s="2" t="s">
        <v>436</v>
      </c>
      <c r="B29" s="2" t="s">
        <v>72</v>
      </c>
      <c r="C29" s="3">
        <v>46193</v>
      </c>
      <c r="D29" s="2">
        <v>710</v>
      </c>
    </row>
    <row r="30" spans="1:6" x14ac:dyDescent="0.35">
      <c r="A30" s="2" t="s">
        <v>437</v>
      </c>
      <c r="B30" s="2" t="s">
        <v>137</v>
      </c>
      <c r="C30" s="3">
        <v>46188</v>
      </c>
      <c r="D30" s="2">
        <v>290</v>
      </c>
    </row>
    <row r="33" spans="1:6" x14ac:dyDescent="0.35">
      <c r="A33" s="4" t="s">
        <v>438</v>
      </c>
      <c r="B33" s="4" t="s">
        <v>72</v>
      </c>
    </row>
    <row r="34" spans="1:6" x14ac:dyDescent="0.35">
      <c r="A34" s="4" t="s">
        <v>439</v>
      </c>
      <c r="B34" s="4">
        <f>LOOKUP(2,1/(B26:B31=B33),D26:D31)</f>
        <v>710</v>
      </c>
    </row>
    <row r="35" spans="1:6" x14ac:dyDescent="0.35">
      <c r="A35" s="14" t="s">
        <v>440</v>
      </c>
      <c r="B35" s="14" t="s">
        <v>441</v>
      </c>
    </row>
    <row r="38" spans="1:6" x14ac:dyDescent="0.35">
      <c r="A38" s="24" t="s">
        <v>442</v>
      </c>
      <c r="B38" s="24"/>
      <c r="C38" s="24"/>
      <c r="D38" s="24"/>
      <c r="E38" s="24"/>
      <c r="F38" s="24"/>
    </row>
    <row r="39" spans="1:6" ht="28" x14ac:dyDescent="0.35">
      <c r="A39" s="1" t="s">
        <v>443</v>
      </c>
      <c r="B39" s="1" t="s">
        <v>444</v>
      </c>
      <c r="C39" s="1" t="s">
        <v>445</v>
      </c>
      <c r="D39" s="1" t="s">
        <v>446</v>
      </c>
    </row>
    <row r="40" spans="1:6" x14ac:dyDescent="0.35">
      <c r="A40" s="2" t="s">
        <v>447</v>
      </c>
      <c r="B40" s="2" t="s">
        <v>448</v>
      </c>
      <c r="C40" s="2" t="s">
        <v>449</v>
      </c>
      <c r="D40" s="2">
        <v>42</v>
      </c>
    </row>
    <row r="41" spans="1:6" x14ac:dyDescent="0.35">
      <c r="A41" s="2" t="s">
        <v>450</v>
      </c>
      <c r="B41" s="2" t="s">
        <v>451</v>
      </c>
      <c r="C41" s="2" t="s">
        <v>452</v>
      </c>
      <c r="D41" s="2">
        <v>30</v>
      </c>
    </row>
    <row r="42" spans="1:6" x14ac:dyDescent="0.35">
      <c r="A42" s="2" t="s">
        <v>453</v>
      </c>
      <c r="B42" s="2" t="s">
        <v>454</v>
      </c>
      <c r="C42" s="2" t="s">
        <v>455</v>
      </c>
      <c r="D42" s="2">
        <v>55</v>
      </c>
    </row>
    <row r="45" spans="1:6" x14ac:dyDescent="0.35">
      <c r="A45" s="4" t="s">
        <v>456</v>
      </c>
      <c r="B45" s="4" t="s">
        <v>457</v>
      </c>
    </row>
    <row r="46" spans="1:6" x14ac:dyDescent="0.35">
      <c r="A46" s="4" t="s">
        <v>458</v>
      </c>
      <c r="B46" s="4" t="str">
        <f>IFERROR(INDEX(A40:A43,MATCH(B45,B40:B43,0)),"No playlist available")</f>
        <v>No playlist available</v>
      </c>
    </row>
    <row r="47" spans="1:6" x14ac:dyDescent="0.35">
      <c r="A47" s="14" t="s">
        <v>459</v>
      </c>
      <c r="B47" s="14" t="s">
        <v>460</v>
      </c>
    </row>
    <row r="50" spans="1:6" x14ac:dyDescent="0.35">
      <c r="A50" s="24" t="s">
        <v>461</v>
      </c>
      <c r="B50" s="24"/>
      <c r="C50" s="24"/>
      <c r="D50" s="24"/>
      <c r="E50" s="24"/>
      <c r="F50" s="24"/>
    </row>
    <row r="51" spans="1:6" ht="28" x14ac:dyDescent="0.35">
      <c r="A51" s="1" t="s">
        <v>197</v>
      </c>
      <c r="B51" s="1" t="s">
        <v>462</v>
      </c>
      <c r="C51" s="1" t="s">
        <v>463</v>
      </c>
      <c r="D51" s="1" t="s">
        <v>158</v>
      </c>
    </row>
    <row r="52" spans="1:6" x14ac:dyDescent="0.35">
      <c r="A52" s="2" t="s">
        <v>464</v>
      </c>
      <c r="B52" s="2" t="s">
        <v>465</v>
      </c>
      <c r="C52" s="2" t="s">
        <v>466</v>
      </c>
      <c r="D52" s="2" t="s">
        <v>467</v>
      </c>
    </row>
    <row r="53" spans="1:6" x14ac:dyDescent="0.35">
      <c r="A53" s="2" t="s">
        <v>468</v>
      </c>
      <c r="B53" s="2" t="s">
        <v>469</v>
      </c>
      <c r="C53" s="2" t="s">
        <v>470</v>
      </c>
      <c r="D53" s="2" t="s">
        <v>471</v>
      </c>
    </row>
    <row r="54" spans="1:6" x14ac:dyDescent="0.35">
      <c r="A54" s="2" t="s">
        <v>472</v>
      </c>
      <c r="B54" s="2" t="s">
        <v>473</v>
      </c>
      <c r="C54" s="2" t="s">
        <v>474</v>
      </c>
      <c r="D54" s="2" t="s">
        <v>467</v>
      </c>
    </row>
    <row r="57" spans="1:6" x14ac:dyDescent="0.35">
      <c r="A57" s="4" t="s">
        <v>475</v>
      </c>
      <c r="B57" s="4" t="s">
        <v>476</v>
      </c>
    </row>
    <row r="58" spans="1:6" x14ac:dyDescent="0.35">
      <c r="A58" s="4" t="s">
        <v>477</v>
      </c>
      <c r="B58" s="4" t="str">
        <f>IFERROR(INDEX(D52:D55,MATCH(B57,A52:A55,0)),"Booking Not Found")</f>
        <v>Booking Not Found</v>
      </c>
    </row>
    <row r="59" spans="1:6" x14ac:dyDescent="0.35">
      <c r="A59" s="14" t="s">
        <v>478</v>
      </c>
      <c r="B59" s="14" t="s">
        <v>479</v>
      </c>
    </row>
    <row r="62" spans="1:6" x14ac:dyDescent="0.35">
      <c r="A62" s="24" t="s">
        <v>480</v>
      </c>
      <c r="B62" s="24"/>
      <c r="C62" s="24"/>
      <c r="D62" s="24"/>
      <c r="E62" s="24"/>
      <c r="F62" s="24"/>
    </row>
    <row r="63" spans="1:6" x14ac:dyDescent="0.35">
      <c r="A63" s="1" t="s">
        <v>43</v>
      </c>
      <c r="B63" s="1" t="s">
        <v>316</v>
      </c>
    </row>
    <row r="64" spans="1:6" x14ac:dyDescent="0.35">
      <c r="A64" s="2" t="s">
        <v>481</v>
      </c>
      <c r="B64" s="3">
        <v>46178</v>
      </c>
    </row>
    <row r="65" spans="1:2" x14ac:dyDescent="0.35">
      <c r="A65" s="2" t="s">
        <v>482</v>
      </c>
      <c r="B65" s="3">
        <v>46182</v>
      </c>
    </row>
    <row r="66" spans="1:2" x14ac:dyDescent="0.35">
      <c r="A66" s="2" t="s">
        <v>483</v>
      </c>
      <c r="B66" s="3">
        <v>46187</v>
      </c>
    </row>
    <row r="69" spans="1:2" x14ac:dyDescent="0.35">
      <c r="A69" s="14" t="s">
        <v>484</v>
      </c>
    </row>
    <row r="70" spans="1:2" x14ac:dyDescent="0.35">
      <c r="A70" s="4" t="s">
        <v>485</v>
      </c>
      <c r="B70" s="14" t="s">
        <v>486</v>
      </c>
    </row>
    <row r="71" spans="1:2" x14ac:dyDescent="0.35">
      <c r="A71" s="4" t="s">
        <v>487</v>
      </c>
      <c r="B71" s="11">
        <f>INDEX(B64:B67,MATCH("MY2",A64:A67,0))</f>
        <v>46182</v>
      </c>
    </row>
  </sheetData>
  <mergeCells count="7">
    <mergeCell ref="A50:F50"/>
    <mergeCell ref="A62:F62"/>
    <mergeCell ref="A1:F1"/>
    <mergeCell ref="A2:G2"/>
    <mergeCell ref="A5:F5"/>
    <mergeCell ref="A24:F24"/>
    <mergeCell ref="A38:F38"/>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showGridLines="0" zoomScaleNormal="100" workbookViewId="0">
      <selection activeCell="B21" sqref="B21"/>
    </sheetView>
  </sheetViews>
  <sheetFormatPr defaultColWidth="8.6328125" defaultRowHeight="14.5" x14ac:dyDescent="0.35"/>
  <cols>
    <col min="1" max="1" width="22" customWidth="1"/>
    <col min="2" max="4" width="14" customWidth="1"/>
  </cols>
  <sheetData>
    <row r="1" spans="1:6" ht="18" x14ac:dyDescent="0.4">
      <c r="A1" s="26" t="s">
        <v>488</v>
      </c>
      <c r="B1" s="26"/>
      <c r="C1" s="26"/>
      <c r="D1" s="26"/>
      <c r="E1" s="26"/>
      <c r="F1" s="26"/>
    </row>
    <row r="3" spans="1:6" x14ac:dyDescent="0.35">
      <c r="A3" s="24" t="s">
        <v>489</v>
      </c>
      <c r="B3" s="24"/>
      <c r="C3" s="24"/>
      <c r="D3" s="24"/>
      <c r="E3" s="24"/>
      <c r="F3" s="24"/>
    </row>
    <row r="4" spans="1:6" x14ac:dyDescent="0.35">
      <c r="A4" s="9" t="s">
        <v>76</v>
      </c>
      <c r="B4" s="15">
        <v>45392</v>
      </c>
      <c r="C4" s="15">
        <v>45397</v>
      </c>
      <c r="D4" s="15">
        <v>45402</v>
      </c>
    </row>
    <row r="5" spans="1:6" x14ac:dyDescent="0.35">
      <c r="A5" s="4" t="s">
        <v>81</v>
      </c>
      <c r="B5" s="4">
        <v>176</v>
      </c>
      <c r="C5" s="4">
        <v>190</v>
      </c>
      <c r="D5" s="4">
        <v>168</v>
      </c>
    </row>
    <row r="6" spans="1:6" x14ac:dyDescent="0.35">
      <c r="A6" s="4" t="s">
        <v>79</v>
      </c>
      <c r="B6" s="4">
        <v>205</v>
      </c>
      <c r="C6" s="4">
        <v>182</v>
      </c>
      <c r="D6" s="4">
        <v>199</v>
      </c>
    </row>
    <row r="7" spans="1:6" x14ac:dyDescent="0.35">
      <c r="A7" s="4" t="s">
        <v>80</v>
      </c>
      <c r="B7" s="4">
        <v>164</v>
      </c>
      <c r="C7" s="4">
        <v>171</v>
      </c>
      <c r="D7" s="4">
        <v>188</v>
      </c>
    </row>
    <row r="8" spans="1:6" x14ac:dyDescent="0.35">
      <c r="A8" s="4" t="s">
        <v>82</v>
      </c>
      <c r="B8" s="4">
        <v>150</v>
      </c>
      <c r="C8" s="4">
        <v>193</v>
      </c>
      <c r="D8" s="4">
        <v>177</v>
      </c>
    </row>
    <row r="10" spans="1:6" x14ac:dyDescent="0.35">
      <c r="A10" s="4" t="s">
        <v>490</v>
      </c>
      <c r="B10" s="4" t="s">
        <v>81</v>
      </c>
    </row>
    <row r="11" spans="1:6" x14ac:dyDescent="0.35">
      <c r="A11" s="4" t="s">
        <v>491</v>
      </c>
      <c r="B11" s="16">
        <v>45397</v>
      </c>
    </row>
    <row r="12" spans="1:6" x14ac:dyDescent="0.35">
      <c r="A12" s="4" t="s">
        <v>492</v>
      </c>
      <c r="B12" s="4">
        <f>INDEX(B5:D8,MATCH(B10,A5:A8,0),MATCH(B11,B4:D4,0))</f>
        <v>190</v>
      </c>
    </row>
    <row r="15" spans="1:6" x14ac:dyDescent="0.35">
      <c r="A15" s="24" t="s">
        <v>493</v>
      </c>
      <c r="B15" s="24"/>
      <c r="C15" s="24"/>
      <c r="D15" s="24"/>
      <c r="E15" s="24"/>
      <c r="F15" s="24"/>
    </row>
    <row r="16" spans="1:6" x14ac:dyDescent="0.35">
      <c r="A16" s="9" t="s">
        <v>108</v>
      </c>
      <c r="B16" s="9" t="s">
        <v>139</v>
      </c>
      <c r="C16" s="9" t="s">
        <v>494</v>
      </c>
      <c r="D16" s="9" t="s">
        <v>495</v>
      </c>
    </row>
    <row r="17" spans="1:6" x14ac:dyDescent="0.35">
      <c r="A17" s="4" t="s">
        <v>496</v>
      </c>
      <c r="B17" s="4">
        <v>74999</v>
      </c>
      <c r="C17" s="4">
        <v>75499</v>
      </c>
      <c r="D17" s="4">
        <v>74799</v>
      </c>
    </row>
    <row r="18" spans="1:6" x14ac:dyDescent="0.35">
      <c r="A18" s="4" t="s">
        <v>497</v>
      </c>
      <c r="B18" s="4">
        <v>69999</v>
      </c>
      <c r="C18" s="4">
        <v>70499</v>
      </c>
      <c r="D18" s="4">
        <v>69799</v>
      </c>
    </row>
    <row r="19" spans="1:6" x14ac:dyDescent="0.35">
      <c r="A19" s="4" t="s">
        <v>498</v>
      </c>
      <c r="B19" s="4">
        <v>15999</v>
      </c>
      <c r="C19" s="4">
        <v>16199</v>
      </c>
      <c r="D19" s="4">
        <v>15899</v>
      </c>
    </row>
    <row r="21" spans="1:6" x14ac:dyDescent="0.35">
      <c r="A21" s="4" t="s">
        <v>499</v>
      </c>
      <c r="B21" s="4">
        <f>INDEX(B17:D19,MATCH("iPhone 15",A17:A19,0),MATCH("Ahmedabad",B16:D16,0))</f>
        <v>74999</v>
      </c>
    </row>
    <row r="24" spans="1:6" x14ac:dyDescent="0.35">
      <c r="A24" s="24" t="s">
        <v>500</v>
      </c>
      <c r="B24" s="24"/>
      <c r="C24" s="24"/>
      <c r="D24" s="24"/>
      <c r="E24" s="24"/>
      <c r="F24" s="24"/>
    </row>
    <row r="25" spans="1:6" x14ac:dyDescent="0.35">
      <c r="A25" s="9" t="s">
        <v>12</v>
      </c>
      <c r="B25" s="9" t="s">
        <v>501</v>
      </c>
      <c r="C25" s="9" t="s">
        <v>502</v>
      </c>
      <c r="D25" s="9" t="s">
        <v>503</v>
      </c>
    </row>
    <row r="26" spans="1:6" x14ac:dyDescent="0.35">
      <c r="A26" s="4" t="s">
        <v>23</v>
      </c>
      <c r="B26" s="4">
        <v>120</v>
      </c>
      <c r="C26" s="4">
        <v>98</v>
      </c>
      <c r="D26" s="4">
        <v>145</v>
      </c>
    </row>
    <row r="27" spans="1:6" x14ac:dyDescent="0.35">
      <c r="A27" s="4" t="s">
        <v>29</v>
      </c>
      <c r="B27" s="4">
        <v>80</v>
      </c>
      <c r="C27" s="4">
        <v>110</v>
      </c>
      <c r="D27" s="4">
        <v>90</v>
      </c>
    </row>
    <row r="28" spans="1:6" x14ac:dyDescent="0.35">
      <c r="A28" s="4" t="s">
        <v>344</v>
      </c>
      <c r="B28" s="4">
        <v>200</v>
      </c>
      <c r="C28" s="4">
        <v>180</v>
      </c>
      <c r="D28" s="4">
        <v>210</v>
      </c>
    </row>
    <row r="30" spans="1:6" x14ac:dyDescent="0.35">
      <c r="A30" s="4" t="s">
        <v>504</v>
      </c>
      <c r="B30" s="4">
        <f>INDEX(B26:D28,MATCH("Kesariya",A26:A28,0),MATCH("March",B25:D25,0))</f>
        <v>145</v>
      </c>
    </row>
    <row r="33" spans="1:6" x14ac:dyDescent="0.35">
      <c r="A33" s="24" t="s">
        <v>505</v>
      </c>
      <c r="B33" s="24"/>
      <c r="C33" s="24"/>
      <c r="D33" s="24"/>
      <c r="E33" s="24"/>
      <c r="F33" s="24"/>
    </row>
    <row r="34" spans="1:6" x14ac:dyDescent="0.35">
      <c r="A34" s="9" t="s">
        <v>506</v>
      </c>
      <c r="B34" s="9" t="s">
        <v>507</v>
      </c>
      <c r="C34" s="9" t="s">
        <v>508</v>
      </c>
      <c r="D34" s="9" t="s">
        <v>509</v>
      </c>
    </row>
    <row r="35" spans="1:6" x14ac:dyDescent="0.35">
      <c r="A35" s="4" t="s">
        <v>510</v>
      </c>
      <c r="B35" s="4">
        <v>4200</v>
      </c>
      <c r="C35" s="4">
        <v>6100</v>
      </c>
      <c r="D35" s="4">
        <v>5800</v>
      </c>
    </row>
    <row r="36" spans="1:6" x14ac:dyDescent="0.35">
      <c r="A36" s="4" t="s">
        <v>511</v>
      </c>
      <c r="B36" s="4">
        <v>3900</v>
      </c>
      <c r="C36" s="4">
        <v>5200</v>
      </c>
      <c r="D36" s="4">
        <v>6300</v>
      </c>
    </row>
    <row r="37" spans="1:6" x14ac:dyDescent="0.35">
      <c r="A37" s="4" t="s">
        <v>512</v>
      </c>
      <c r="B37" s="4">
        <v>2800</v>
      </c>
      <c r="C37" s="4">
        <v>4700</v>
      </c>
      <c r="D37" s="4">
        <v>5100</v>
      </c>
    </row>
    <row r="39" spans="1:6" x14ac:dyDescent="0.35">
      <c r="A39" s="4" t="s">
        <v>513</v>
      </c>
      <c r="B39" s="4">
        <f>INDEX(B35:D37,MATCH("Burger Hub",A35:A37,0),MATCH("Friday",B34:D34,0))</f>
        <v>6100</v>
      </c>
    </row>
    <row r="41" spans="1:6" ht="27.75" customHeight="1" x14ac:dyDescent="0.35">
      <c r="A41" s="25" t="s">
        <v>514</v>
      </c>
      <c r="B41" s="25"/>
      <c r="C41" s="25"/>
      <c r="D41" s="25"/>
      <c r="E41" s="25"/>
    </row>
  </sheetData>
  <mergeCells count="6">
    <mergeCell ref="A41:E41"/>
    <mergeCell ref="A1:F1"/>
    <mergeCell ref="A3:F3"/>
    <mergeCell ref="A15:F15"/>
    <mergeCell ref="A24:F24"/>
    <mergeCell ref="A33:F33"/>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Views>
    <sheetView showGridLines="0" topLeftCell="A12" zoomScaleNormal="100" workbookViewId="0">
      <selection sqref="A1:F1"/>
    </sheetView>
  </sheetViews>
  <sheetFormatPr defaultColWidth="8.6328125" defaultRowHeight="14.5" x14ac:dyDescent="0.35"/>
  <cols>
    <col min="1" max="1" width="20" customWidth="1"/>
    <col min="2" max="3" width="16" customWidth="1"/>
  </cols>
  <sheetData>
    <row r="1" spans="1:6" ht="18" x14ac:dyDescent="0.4">
      <c r="A1" s="26" t="s">
        <v>515</v>
      </c>
      <c r="B1" s="26"/>
      <c r="C1" s="26"/>
      <c r="D1" s="26"/>
      <c r="E1" s="26"/>
      <c r="F1" s="26"/>
    </row>
    <row r="3" spans="1:6" x14ac:dyDescent="0.35">
      <c r="A3" s="24" t="s">
        <v>516</v>
      </c>
      <c r="B3" s="24"/>
      <c r="C3" s="24"/>
      <c r="D3" s="24"/>
      <c r="E3" s="24"/>
      <c r="F3" s="24"/>
    </row>
    <row r="4" spans="1:6" x14ac:dyDescent="0.35">
      <c r="A4" s="1" t="s">
        <v>517</v>
      </c>
      <c r="B4" s="1" t="s">
        <v>13</v>
      </c>
    </row>
    <row r="5" spans="1:6" x14ac:dyDescent="0.35">
      <c r="A5" s="2" t="s">
        <v>23</v>
      </c>
      <c r="B5" s="2" t="s">
        <v>24</v>
      </c>
    </row>
    <row r="6" spans="1:6" x14ac:dyDescent="0.35">
      <c r="A6" s="2" t="s">
        <v>29</v>
      </c>
      <c r="B6" s="2" t="s">
        <v>24</v>
      </c>
    </row>
    <row r="7" spans="1:6" x14ac:dyDescent="0.35">
      <c r="A7" s="2" t="s">
        <v>344</v>
      </c>
      <c r="B7" s="2" t="s">
        <v>24</v>
      </c>
    </row>
    <row r="8" spans="1:6" x14ac:dyDescent="0.35">
      <c r="A8" s="2" t="s">
        <v>23</v>
      </c>
      <c r="B8" s="2" t="s">
        <v>24</v>
      </c>
    </row>
    <row r="9" spans="1:6" x14ac:dyDescent="0.35">
      <c r="A9" s="2" t="s">
        <v>345</v>
      </c>
      <c r="B9" s="2" t="s">
        <v>24</v>
      </c>
    </row>
    <row r="10" spans="1:6" x14ac:dyDescent="0.35">
      <c r="A10" s="2" t="s">
        <v>518</v>
      </c>
      <c r="B10" s="2" t="s">
        <v>24</v>
      </c>
    </row>
    <row r="11" spans="1:6" x14ac:dyDescent="0.35">
      <c r="A11" s="2" t="s">
        <v>344</v>
      </c>
      <c r="B11" s="2" t="s">
        <v>24</v>
      </c>
    </row>
    <row r="12" spans="1:6" x14ac:dyDescent="0.35">
      <c r="A12" s="2" t="s">
        <v>343</v>
      </c>
      <c r="B12" s="2" t="s">
        <v>24</v>
      </c>
    </row>
    <row r="13" spans="1:6" x14ac:dyDescent="0.35">
      <c r="A13" s="2" t="s">
        <v>519</v>
      </c>
      <c r="B13" s="2" t="s">
        <v>24</v>
      </c>
    </row>
    <row r="14" spans="1:6" x14ac:dyDescent="0.35">
      <c r="A14" s="2" t="s">
        <v>520</v>
      </c>
      <c r="B14" s="2" t="s">
        <v>24</v>
      </c>
    </row>
    <row r="15" spans="1:6" x14ac:dyDescent="0.35">
      <c r="A15" s="2" t="s">
        <v>23</v>
      </c>
      <c r="B15" s="2" t="s">
        <v>24</v>
      </c>
    </row>
    <row r="16" spans="1:6" x14ac:dyDescent="0.35">
      <c r="A16" s="2" t="s">
        <v>521</v>
      </c>
      <c r="B16" s="2" t="s">
        <v>24</v>
      </c>
    </row>
    <row r="17" spans="1:6" x14ac:dyDescent="0.35">
      <c r="A17" s="2" t="s">
        <v>522</v>
      </c>
      <c r="B17" s="2" t="s">
        <v>24</v>
      </c>
    </row>
    <row r="18" spans="1:6" x14ac:dyDescent="0.35">
      <c r="A18" s="2" t="s">
        <v>523</v>
      </c>
      <c r="B18" s="2" t="s">
        <v>24</v>
      </c>
    </row>
    <row r="19" spans="1:6" x14ac:dyDescent="0.35">
      <c r="A19" s="2" t="s">
        <v>344</v>
      </c>
      <c r="B19" s="2" t="s">
        <v>24</v>
      </c>
    </row>
    <row r="20" spans="1:6" x14ac:dyDescent="0.35">
      <c r="A20" s="2" t="s">
        <v>524</v>
      </c>
      <c r="B20" s="2" t="s">
        <v>24</v>
      </c>
    </row>
    <row r="21" spans="1:6" x14ac:dyDescent="0.35">
      <c r="A21" s="2" t="s">
        <v>525</v>
      </c>
      <c r="B21" s="2" t="s">
        <v>24</v>
      </c>
    </row>
    <row r="22" spans="1:6" x14ac:dyDescent="0.35">
      <c r="A22" s="2" t="s">
        <v>526</v>
      </c>
      <c r="B22" s="2" t="s">
        <v>24</v>
      </c>
    </row>
    <row r="23" spans="1:6" x14ac:dyDescent="0.35">
      <c r="A23" s="2" t="s">
        <v>345</v>
      </c>
      <c r="B23" s="2" t="s">
        <v>24</v>
      </c>
    </row>
    <row r="24" spans="1:6" x14ac:dyDescent="0.35">
      <c r="A24" s="2" t="s">
        <v>527</v>
      </c>
      <c r="B24" s="2" t="s">
        <v>24</v>
      </c>
    </row>
    <row r="27" spans="1:6" x14ac:dyDescent="0.35">
      <c r="A27" s="24" t="s">
        <v>528</v>
      </c>
      <c r="B27" s="24"/>
      <c r="C27" s="24"/>
      <c r="D27" s="24"/>
      <c r="E27" s="24"/>
      <c r="F27" s="24"/>
    </row>
    <row r="28" spans="1:6" x14ac:dyDescent="0.35">
      <c r="A28" s="1" t="s">
        <v>529</v>
      </c>
    </row>
    <row r="29" spans="1:6" x14ac:dyDescent="0.35">
      <c r="A29" s="2">
        <v>499</v>
      </c>
    </row>
    <row r="30" spans="1:6" x14ac:dyDescent="0.35">
      <c r="A30" s="2">
        <v>1299</v>
      </c>
    </row>
    <row r="31" spans="1:6" x14ac:dyDescent="0.35">
      <c r="A31" s="2">
        <v>74999</v>
      </c>
    </row>
    <row r="32" spans="1:6" x14ac:dyDescent="0.35">
      <c r="A32" s="2">
        <v>249</v>
      </c>
    </row>
    <row r="33" spans="1:1" x14ac:dyDescent="0.35">
      <c r="A33" s="2">
        <v>15999</v>
      </c>
    </row>
    <row r="34" spans="1:1" x14ac:dyDescent="0.35">
      <c r="A34" s="2">
        <v>899</v>
      </c>
    </row>
    <row r="35" spans="1:1" x14ac:dyDescent="0.35">
      <c r="A35" s="2">
        <v>2999</v>
      </c>
    </row>
    <row r="36" spans="1:1" x14ac:dyDescent="0.35">
      <c r="A36" s="2">
        <v>349</v>
      </c>
    </row>
    <row r="37" spans="1:1" x14ac:dyDescent="0.35">
      <c r="A37" s="2">
        <v>6499</v>
      </c>
    </row>
    <row r="38" spans="1:1" x14ac:dyDescent="0.35">
      <c r="A38" s="2">
        <v>199</v>
      </c>
    </row>
    <row r="39" spans="1:1" x14ac:dyDescent="0.35">
      <c r="A39" s="2">
        <v>45999</v>
      </c>
    </row>
    <row r="40" spans="1:1" x14ac:dyDescent="0.35">
      <c r="A40" s="2">
        <v>1099</v>
      </c>
    </row>
    <row r="41" spans="1:1" x14ac:dyDescent="0.35">
      <c r="A41" s="2">
        <v>799</v>
      </c>
    </row>
    <row r="42" spans="1:1" x14ac:dyDescent="0.35">
      <c r="A42" s="2">
        <v>3499</v>
      </c>
    </row>
    <row r="43" spans="1:1" x14ac:dyDescent="0.35">
      <c r="A43" s="2">
        <v>999</v>
      </c>
    </row>
    <row r="44" spans="1:1" x14ac:dyDescent="0.35">
      <c r="A44" s="2">
        <v>1499</v>
      </c>
    </row>
    <row r="45" spans="1:1" x14ac:dyDescent="0.35">
      <c r="A45" s="2">
        <v>599</v>
      </c>
    </row>
    <row r="46" spans="1:1" x14ac:dyDescent="0.35">
      <c r="A46" s="2">
        <v>24999</v>
      </c>
    </row>
    <row r="47" spans="1:1" x14ac:dyDescent="0.35">
      <c r="A47" s="2">
        <v>1999</v>
      </c>
    </row>
    <row r="48" spans="1:1" x14ac:dyDescent="0.35">
      <c r="A48" s="2">
        <v>299</v>
      </c>
    </row>
    <row r="51" spans="1:6" x14ac:dyDescent="0.35">
      <c r="A51" s="24" t="s">
        <v>530</v>
      </c>
      <c r="B51" s="24"/>
      <c r="C51" s="24"/>
      <c r="D51" s="24"/>
      <c r="E51" s="24"/>
      <c r="F51" s="24"/>
    </row>
    <row r="52" spans="1:6" x14ac:dyDescent="0.35">
      <c r="A52" s="1" t="s">
        <v>531</v>
      </c>
    </row>
    <row r="53" spans="1:6" x14ac:dyDescent="0.35">
      <c r="A53" s="2">
        <v>5</v>
      </c>
    </row>
    <row r="54" spans="1:6" x14ac:dyDescent="0.35">
      <c r="A54" s="2">
        <v>3</v>
      </c>
    </row>
    <row r="55" spans="1:6" x14ac:dyDescent="0.35">
      <c r="A55" s="2">
        <v>2</v>
      </c>
    </row>
    <row r="56" spans="1:6" x14ac:dyDescent="0.35">
      <c r="A56" s="2">
        <v>4</v>
      </c>
    </row>
    <row r="57" spans="1:6" x14ac:dyDescent="0.35">
      <c r="A57" s="2">
        <v>5</v>
      </c>
    </row>
    <row r="58" spans="1:6" x14ac:dyDescent="0.35">
      <c r="A58" s="2">
        <v>1</v>
      </c>
    </row>
    <row r="59" spans="1:6" x14ac:dyDescent="0.35">
      <c r="A59" s="2">
        <v>3</v>
      </c>
    </row>
    <row r="60" spans="1:6" x14ac:dyDescent="0.35">
      <c r="A60" s="2">
        <v>4</v>
      </c>
    </row>
    <row r="61" spans="1:6" x14ac:dyDescent="0.35">
      <c r="A61" s="2">
        <v>5</v>
      </c>
    </row>
    <row r="62" spans="1:6" x14ac:dyDescent="0.35">
      <c r="A62" s="2">
        <v>2</v>
      </c>
    </row>
    <row r="63" spans="1:6" x14ac:dyDescent="0.35">
      <c r="A63" s="2">
        <v>4</v>
      </c>
    </row>
    <row r="64" spans="1:6" x14ac:dyDescent="0.35">
      <c r="A64" s="2">
        <v>3</v>
      </c>
    </row>
    <row r="65" spans="1:6" x14ac:dyDescent="0.35">
      <c r="A65" s="2">
        <v>5</v>
      </c>
    </row>
    <row r="66" spans="1:6" x14ac:dyDescent="0.35">
      <c r="A66" s="2">
        <v>4</v>
      </c>
    </row>
    <row r="67" spans="1:6" x14ac:dyDescent="0.35">
      <c r="A67" s="2">
        <v>3</v>
      </c>
    </row>
    <row r="69" spans="1:6" ht="27.75" customHeight="1" x14ac:dyDescent="0.35">
      <c r="A69" s="25" t="s">
        <v>532</v>
      </c>
      <c r="B69" s="25"/>
      <c r="C69" s="25"/>
    </row>
    <row r="71" spans="1:6" x14ac:dyDescent="0.35">
      <c r="A71" s="24" t="s">
        <v>533</v>
      </c>
      <c r="B71" s="24"/>
      <c r="C71" s="24"/>
      <c r="D71" s="24"/>
      <c r="E71" s="24"/>
      <c r="F71" s="24"/>
    </row>
    <row r="72" spans="1:6" x14ac:dyDescent="0.35">
      <c r="A72" s="1" t="s">
        <v>327</v>
      </c>
      <c r="B72" s="1" t="s">
        <v>328</v>
      </c>
    </row>
    <row r="73" spans="1:6" x14ac:dyDescent="0.35">
      <c r="A73" s="2" t="s">
        <v>330</v>
      </c>
      <c r="B73" s="2">
        <v>1145</v>
      </c>
    </row>
    <row r="74" spans="1:6" x14ac:dyDescent="0.35">
      <c r="A74" s="2" t="s">
        <v>331</v>
      </c>
      <c r="B74" s="2">
        <v>820</v>
      </c>
    </row>
    <row r="75" spans="1:6" x14ac:dyDescent="0.35">
      <c r="A75" s="2" t="s">
        <v>332</v>
      </c>
      <c r="B75" s="2">
        <v>560</v>
      </c>
    </row>
    <row r="76" spans="1:6" x14ac:dyDescent="0.35">
      <c r="A76" s="2" t="s">
        <v>333</v>
      </c>
      <c r="B76" s="2">
        <v>310</v>
      </c>
    </row>
    <row r="77" spans="1:6" x14ac:dyDescent="0.35">
      <c r="A77" s="2" t="s">
        <v>334</v>
      </c>
      <c r="B77" s="2">
        <v>990</v>
      </c>
    </row>
    <row r="78" spans="1:6" x14ac:dyDescent="0.35">
      <c r="A78" s="2" t="s">
        <v>534</v>
      </c>
      <c r="B78" s="2">
        <v>705</v>
      </c>
    </row>
    <row r="79" spans="1:6" x14ac:dyDescent="0.35">
      <c r="A79" s="2" t="s">
        <v>535</v>
      </c>
      <c r="B79" s="2">
        <v>480</v>
      </c>
    </row>
    <row r="80" spans="1:6" x14ac:dyDescent="0.35">
      <c r="A80" s="2" t="s">
        <v>536</v>
      </c>
      <c r="B80" s="2">
        <v>890</v>
      </c>
    </row>
    <row r="81" spans="1:6" x14ac:dyDescent="0.35">
      <c r="A81" s="2" t="s">
        <v>537</v>
      </c>
      <c r="B81" s="2">
        <v>730</v>
      </c>
    </row>
    <row r="82" spans="1:6" x14ac:dyDescent="0.35">
      <c r="A82" s="2" t="s">
        <v>538</v>
      </c>
      <c r="B82" s="2">
        <v>1020</v>
      </c>
    </row>
    <row r="83" spans="1:6" x14ac:dyDescent="0.35">
      <c r="A83" s="2" t="s">
        <v>539</v>
      </c>
      <c r="B83" s="2">
        <v>290</v>
      </c>
    </row>
    <row r="84" spans="1:6" x14ac:dyDescent="0.35">
      <c r="A84" s="2" t="s">
        <v>540</v>
      </c>
      <c r="B84" s="2">
        <v>250</v>
      </c>
    </row>
    <row r="87" spans="1:6" x14ac:dyDescent="0.35">
      <c r="A87" s="24" t="s">
        <v>541</v>
      </c>
      <c r="B87" s="24"/>
      <c r="C87" s="24"/>
      <c r="D87" s="24"/>
      <c r="E87" s="24"/>
      <c r="F87" s="24"/>
    </row>
    <row r="88" spans="1:6" ht="28" x14ac:dyDescent="0.35">
      <c r="A88" s="1" t="s">
        <v>66</v>
      </c>
      <c r="B88" s="1" t="s">
        <v>542</v>
      </c>
      <c r="C88" s="1" t="s">
        <v>543</v>
      </c>
    </row>
    <row r="89" spans="1:6" x14ac:dyDescent="0.35">
      <c r="A89" s="2" t="s">
        <v>70</v>
      </c>
      <c r="B89" s="2">
        <v>2200</v>
      </c>
      <c r="C89" s="2">
        <v>2500</v>
      </c>
    </row>
    <row r="90" spans="1:6" x14ac:dyDescent="0.35">
      <c r="A90" s="2" t="s">
        <v>544</v>
      </c>
      <c r="B90" s="2">
        <v>4100</v>
      </c>
      <c r="C90" s="2">
        <v>3500</v>
      </c>
    </row>
    <row r="91" spans="1:6" x14ac:dyDescent="0.35">
      <c r="A91" s="2" t="s">
        <v>545</v>
      </c>
      <c r="B91" s="2">
        <v>1800</v>
      </c>
      <c r="C91" s="2">
        <v>2000</v>
      </c>
    </row>
    <row r="92" spans="1:6" x14ac:dyDescent="0.35">
      <c r="A92" s="2" t="s">
        <v>69</v>
      </c>
      <c r="B92" s="2">
        <v>2600</v>
      </c>
      <c r="C92" s="2">
        <v>2400</v>
      </c>
    </row>
    <row r="93" spans="1:6" x14ac:dyDescent="0.35">
      <c r="A93" s="2" t="s">
        <v>546</v>
      </c>
      <c r="B93" s="2">
        <v>5200</v>
      </c>
      <c r="C93" s="2">
        <v>5000</v>
      </c>
    </row>
  </sheetData>
  <mergeCells count="7">
    <mergeCell ref="A71:F71"/>
    <mergeCell ref="A87:F87"/>
    <mergeCell ref="A1:F1"/>
    <mergeCell ref="A3:F3"/>
    <mergeCell ref="A27:F27"/>
    <mergeCell ref="A51:F51"/>
    <mergeCell ref="A69:C69"/>
  </mergeCells>
  <conditionalFormatting sqref="A5:A25">
    <cfRule type="expression" dxfId="8" priority="2">
      <formula>COUNTIF($A$5:$A$25,A5)&gt;1</formula>
    </cfRule>
  </conditionalFormatting>
  <conditionalFormatting sqref="A29:A49">
    <cfRule type="colorScale" priority="3">
      <colorScale>
        <cfvo type="min"/>
        <cfvo type="percentile" val="50"/>
        <cfvo type="max"/>
        <color rgb="FFF8696B"/>
        <color rgb="FFFFEB84"/>
        <color rgb="FF63BE7B"/>
      </colorScale>
    </cfRule>
  </conditionalFormatting>
  <conditionalFormatting sqref="A53:A68">
    <cfRule type="iconSet" priority="4">
      <iconSet>
        <cfvo type="num" val="0"/>
        <cfvo type="num" val="3"/>
        <cfvo type="num" val="4"/>
      </iconSet>
    </cfRule>
  </conditionalFormatting>
  <conditionalFormatting sqref="B73:B85">
    <cfRule type="top10" dxfId="7" priority="5" rank="3"/>
    <cfRule type="top10" dxfId="6" priority="6" bottom="1" rank="3"/>
  </conditionalFormatting>
  <conditionalFormatting sqref="B89:B94">
    <cfRule type="expression" dxfId="5" priority="7">
      <formula>B89&lt;=C89</formula>
    </cfRule>
    <cfRule type="expression" dxfId="4" priority="8">
      <formula>B89&gt;C89</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3"/>
  <sheetViews>
    <sheetView showGridLines="0" topLeftCell="A68" zoomScaleNormal="100" workbookViewId="0">
      <selection sqref="A1:F1"/>
    </sheetView>
  </sheetViews>
  <sheetFormatPr defaultColWidth="8.6328125" defaultRowHeight="14.5" x14ac:dyDescent="0.35"/>
  <cols>
    <col min="1" max="1" width="14" customWidth="1"/>
    <col min="2" max="2" width="16" customWidth="1"/>
    <col min="3" max="3" width="14" customWidth="1"/>
    <col min="4" max="4" width="16" customWidth="1"/>
    <col min="5" max="5" width="12" customWidth="1"/>
  </cols>
  <sheetData>
    <row r="1" spans="1:7" ht="18" x14ac:dyDescent="0.4">
      <c r="A1" s="26" t="s">
        <v>547</v>
      </c>
      <c r="B1" s="26"/>
      <c r="C1" s="26"/>
      <c r="D1" s="26"/>
      <c r="E1" s="26"/>
      <c r="F1" s="26"/>
    </row>
    <row r="2" spans="1:7" ht="27.75" customHeight="1" x14ac:dyDescent="0.35">
      <c r="A2" s="25" t="s">
        <v>548</v>
      </c>
      <c r="B2" s="25"/>
      <c r="C2" s="25"/>
      <c r="D2" s="25"/>
      <c r="E2" s="25"/>
      <c r="F2" s="25"/>
      <c r="G2" s="25"/>
    </row>
    <row r="6" spans="1:7" x14ac:dyDescent="0.35">
      <c r="A6" s="1" t="s">
        <v>43</v>
      </c>
      <c r="B6" s="1" t="s">
        <v>506</v>
      </c>
      <c r="C6" s="1" t="s">
        <v>133</v>
      </c>
      <c r="D6" s="1" t="s">
        <v>549</v>
      </c>
      <c r="E6" s="1" t="s">
        <v>124</v>
      </c>
    </row>
    <row r="7" spans="1:7" x14ac:dyDescent="0.35">
      <c r="A7" s="2" t="s">
        <v>550</v>
      </c>
      <c r="B7" s="2" t="s">
        <v>551</v>
      </c>
      <c r="C7" s="2" t="s">
        <v>138</v>
      </c>
      <c r="D7" s="2" t="s">
        <v>552</v>
      </c>
      <c r="E7" s="2">
        <v>1533</v>
      </c>
    </row>
    <row r="8" spans="1:7" x14ac:dyDescent="0.35">
      <c r="A8" s="2" t="s">
        <v>553</v>
      </c>
      <c r="B8" s="2" t="s">
        <v>72</v>
      </c>
      <c r="C8" s="2" t="s">
        <v>139</v>
      </c>
      <c r="D8" s="2" t="s">
        <v>554</v>
      </c>
      <c r="E8" s="2">
        <v>392</v>
      </c>
    </row>
    <row r="9" spans="1:7" x14ac:dyDescent="0.35">
      <c r="A9" s="2" t="s">
        <v>555</v>
      </c>
      <c r="B9" s="2" t="s">
        <v>551</v>
      </c>
      <c r="C9" s="2" t="s">
        <v>494</v>
      </c>
      <c r="D9" s="2" t="s">
        <v>556</v>
      </c>
      <c r="E9" s="2">
        <v>1239</v>
      </c>
    </row>
    <row r="10" spans="1:7" x14ac:dyDescent="0.35">
      <c r="A10" s="2" t="s">
        <v>557</v>
      </c>
      <c r="B10" s="2" t="s">
        <v>137</v>
      </c>
      <c r="C10" s="2" t="s">
        <v>139</v>
      </c>
      <c r="D10" s="2" t="s">
        <v>556</v>
      </c>
      <c r="E10" s="2">
        <v>1088</v>
      </c>
    </row>
    <row r="11" spans="1:7" x14ac:dyDescent="0.35">
      <c r="A11" s="2" t="s">
        <v>558</v>
      </c>
      <c r="B11" s="2" t="s">
        <v>140</v>
      </c>
      <c r="C11" s="2" t="s">
        <v>139</v>
      </c>
      <c r="D11" s="2" t="s">
        <v>559</v>
      </c>
      <c r="E11" s="2">
        <v>385</v>
      </c>
    </row>
    <row r="12" spans="1:7" x14ac:dyDescent="0.35">
      <c r="A12" s="2" t="s">
        <v>560</v>
      </c>
      <c r="B12" s="2" t="s">
        <v>140</v>
      </c>
      <c r="C12" s="2" t="s">
        <v>139</v>
      </c>
      <c r="D12" s="2" t="s">
        <v>554</v>
      </c>
      <c r="E12" s="2">
        <v>453</v>
      </c>
    </row>
    <row r="13" spans="1:7" x14ac:dyDescent="0.35">
      <c r="A13" s="2" t="s">
        <v>561</v>
      </c>
      <c r="B13" s="2" t="s">
        <v>137</v>
      </c>
      <c r="C13" s="2" t="s">
        <v>494</v>
      </c>
      <c r="D13" s="2" t="s">
        <v>556</v>
      </c>
      <c r="E13" s="2">
        <v>1381</v>
      </c>
    </row>
    <row r="14" spans="1:7" x14ac:dyDescent="0.35">
      <c r="A14" s="2" t="s">
        <v>562</v>
      </c>
      <c r="B14" s="2" t="s">
        <v>140</v>
      </c>
      <c r="C14" s="2" t="s">
        <v>139</v>
      </c>
      <c r="D14" s="2" t="s">
        <v>559</v>
      </c>
      <c r="E14" s="2">
        <v>295</v>
      </c>
    </row>
    <row r="15" spans="1:7" x14ac:dyDescent="0.35">
      <c r="A15" s="2" t="s">
        <v>563</v>
      </c>
      <c r="B15" s="2" t="s">
        <v>149</v>
      </c>
      <c r="C15" s="2" t="s">
        <v>136</v>
      </c>
      <c r="D15" s="2" t="s">
        <v>552</v>
      </c>
      <c r="E15" s="2">
        <v>495</v>
      </c>
    </row>
    <row r="16" spans="1:7" x14ac:dyDescent="0.35">
      <c r="A16" s="2" t="s">
        <v>564</v>
      </c>
      <c r="B16" s="2" t="s">
        <v>135</v>
      </c>
      <c r="C16" s="2" t="s">
        <v>494</v>
      </c>
      <c r="D16" s="2" t="s">
        <v>565</v>
      </c>
      <c r="E16" s="2">
        <v>1347</v>
      </c>
    </row>
    <row r="17" spans="1:5" x14ac:dyDescent="0.35">
      <c r="A17" s="2" t="s">
        <v>566</v>
      </c>
      <c r="B17" s="2" t="s">
        <v>149</v>
      </c>
      <c r="C17" s="2" t="s">
        <v>139</v>
      </c>
      <c r="D17" s="2" t="s">
        <v>554</v>
      </c>
      <c r="E17" s="2">
        <v>1369</v>
      </c>
    </row>
    <row r="18" spans="1:5" x14ac:dyDescent="0.35">
      <c r="A18" s="2" t="s">
        <v>567</v>
      </c>
      <c r="B18" s="2" t="s">
        <v>137</v>
      </c>
      <c r="C18" s="2" t="s">
        <v>136</v>
      </c>
      <c r="D18" s="2" t="s">
        <v>556</v>
      </c>
      <c r="E18" s="2">
        <v>1321</v>
      </c>
    </row>
    <row r="19" spans="1:5" x14ac:dyDescent="0.35">
      <c r="A19" s="2" t="s">
        <v>568</v>
      </c>
      <c r="B19" s="2" t="s">
        <v>135</v>
      </c>
      <c r="C19" s="2" t="s">
        <v>494</v>
      </c>
      <c r="D19" s="2" t="s">
        <v>556</v>
      </c>
      <c r="E19" s="2">
        <v>1467</v>
      </c>
    </row>
    <row r="20" spans="1:5" x14ac:dyDescent="0.35">
      <c r="A20" s="2" t="s">
        <v>569</v>
      </c>
      <c r="B20" s="2" t="s">
        <v>137</v>
      </c>
      <c r="C20" s="2" t="s">
        <v>144</v>
      </c>
      <c r="D20" s="2" t="s">
        <v>554</v>
      </c>
      <c r="E20" s="2">
        <v>1075</v>
      </c>
    </row>
    <row r="21" spans="1:5" x14ac:dyDescent="0.35">
      <c r="A21" s="2" t="s">
        <v>570</v>
      </c>
      <c r="B21" s="2" t="s">
        <v>551</v>
      </c>
      <c r="C21" s="2" t="s">
        <v>144</v>
      </c>
      <c r="D21" s="2" t="s">
        <v>554</v>
      </c>
      <c r="E21" s="2">
        <v>1128</v>
      </c>
    </row>
    <row r="22" spans="1:5" x14ac:dyDescent="0.35">
      <c r="A22" s="2" t="s">
        <v>571</v>
      </c>
      <c r="B22" s="2" t="s">
        <v>551</v>
      </c>
      <c r="C22" s="2" t="s">
        <v>136</v>
      </c>
      <c r="D22" s="2" t="s">
        <v>559</v>
      </c>
      <c r="E22" s="2">
        <v>568</v>
      </c>
    </row>
    <row r="23" spans="1:5" x14ac:dyDescent="0.35">
      <c r="A23" s="2" t="s">
        <v>572</v>
      </c>
      <c r="B23" s="2" t="s">
        <v>137</v>
      </c>
      <c r="C23" s="2" t="s">
        <v>139</v>
      </c>
      <c r="D23" s="2" t="s">
        <v>554</v>
      </c>
      <c r="E23" s="2">
        <v>814</v>
      </c>
    </row>
    <row r="24" spans="1:5" x14ac:dyDescent="0.35">
      <c r="A24" s="2" t="s">
        <v>573</v>
      </c>
      <c r="B24" s="2" t="s">
        <v>574</v>
      </c>
      <c r="C24" s="2" t="s">
        <v>136</v>
      </c>
      <c r="D24" s="2" t="s">
        <v>552</v>
      </c>
      <c r="E24" s="2">
        <v>789</v>
      </c>
    </row>
    <row r="25" spans="1:5" x14ac:dyDescent="0.35">
      <c r="A25" s="2" t="s">
        <v>575</v>
      </c>
      <c r="B25" s="2" t="s">
        <v>135</v>
      </c>
      <c r="C25" s="2" t="s">
        <v>139</v>
      </c>
      <c r="D25" s="2" t="s">
        <v>554</v>
      </c>
      <c r="E25" s="2">
        <v>1056</v>
      </c>
    </row>
    <row r="26" spans="1:5" x14ac:dyDescent="0.35">
      <c r="A26" s="2" t="s">
        <v>576</v>
      </c>
      <c r="B26" s="2" t="s">
        <v>149</v>
      </c>
      <c r="C26" s="2" t="s">
        <v>136</v>
      </c>
      <c r="D26" s="2" t="s">
        <v>559</v>
      </c>
      <c r="E26" s="2">
        <v>1201</v>
      </c>
    </row>
    <row r="27" spans="1:5" x14ac:dyDescent="0.35">
      <c r="A27" s="2" t="s">
        <v>577</v>
      </c>
      <c r="B27" s="2" t="s">
        <v>140</v>
      </c>
      <c r="C27" s="2" t="s">
        <v>139</v>
      </c>
      <c r="D27" s="2" t="s">
        <v>556</v>
      </c>
      <c r="E27" s="2">
        <v>1765</v>
      </c>
    </row>
    <row r="28" spans="1:5" x14ac:dyDescent="0.35">
      <c r="A28" s="2" t="s">
        <v>578</v>
      </c>
      <c r="B28" s="2" t="s">
        <v>551</v>
      </c>
      <c r="C28" s="2" t="s">
        <v>136</v>
      </c>
      <c r="D28" s="2" t="s">
        <v>565</v>
      </c>
      <c r="E28" s="2">
        <v>1417</v>
      </c>
    </row>
    <row r="29" spans="1:5" x14ac:dyDescent="0.35">
      <c r="A29" s="2" t="s">
        <v>579</v>
      </c>
      <c r="B29" s="2" t="s">
        <v>574</v>
      </c>
      <c r="C29" s="2" t="s">
        <v>494</v>
      </c>
      <c r="D29" s="2" t="s">
        <v>552</v>
      </c>
      <c r="E29" s="2">
        <v>340</v>
      </c>
    </row>
    <row r="30" spans="1:5" x14ac:dyDescent="0.35">
      <c r="A30" s="2" t="s">
        <v>580</v>
      </c>
      <c r="B30" s="2" t="s">
        <v>135</v>
      </c>
      <c r="C30" s="2" t="s">
        <v>136</v>
      </c>
      <c r="D30" s="2" t="s">
        <v>552</v>
      </c>
      <c r="E30" s="2">
        <v>1627</v>
      </c>
    </row>
    <row r="31" spans="1:5" x14ac:dyDescent="0.35">
      <c r="A31" s="2" t="s">
        <v>581</v>
      </c>
      <c r="B31" s="2" t="s">
        <v>135</v>
      </c>
      <c r="C31" s="2" t="s">
        <v>139</v>
      </c>
      <c r="D31" s="2" t="s">
        <v>565</v>
      </c>
      <c r="E31" s="2">
        <v>1525</v>
      </c>
    </row>
    <row r="32" spans="1:5" x14ac:dyDescent="0.35">
      <c r="A32" s="2" t="s">
        <v>582</v>
      </c>
      <c r="B32" s="2" t="s">
        <v>574</v>
      </c>
      <c r="C32" s="2" t="s">
        <v>136</v>
      </c>
      <c r="D32" s="2" t="s">
        <v>552</v>
      </c>
      <c r="E32" s="2">
        <v>1569</v>
      </c>
    </row>
    <row r="33" spans="1:5" x14ac:dyDescent="0.35">
      <c r="A33" s="2" t="s">
        <v>583</v>
      </c>
      <c r="B33" s="2" t="s">
        <v>551</v>
      </c>
      <c r="C33" s="2" t="s">
        <v>139</v>
      </c>
      <c r="D33" s="2" t="s">
        <v>552</v>
      </c>
      <c r="E33" s="2">
        <v>927</v>
      </c>
    </row>
    <row r="34" spans="1:5" x14ac:dyDescent="0.35">
      <c r="A34" s="2" t="s">
        <v>584</v>
      </c>
      <c r="B34" s="2" t="s">
        <v>149</v>
      </c>
      <c r="C34" s="2" t="s">
        <v>494</v>
      </c>
      <c r="D34" s="2" t="s">
        <v>556</v>
      </c>
      <c r="E34" s="2">
        <v>1211</v>
      </c>
    </row>
    <row r="35" spans="1:5" x14ac:dyDescent="0.35">
      <c r="A35" s="2" t="s">
        <v>585</v>
      </c>
      <c r="B35" s="2" t="s">
        <v>72</v>
      </c>
      <c r="C35" s="2" t="s">
        <v>138</v>
      </c>
      <c r="D35" s="2" t="s">
        <v>565</v>
      </c>
      <c r="E35" s="2">
        <v>464</v>
      </c>
    </row>
    <row r="36" spans="1:5" x14ac:dyDescent="0.35">
      <c r="A36" s="2" t="s">
        <v>586</v>
      </c>
      <c r="B36" s="2" t="s">
        <v>137</v>
      </c>
      <c r="C36" s="2" t="s">
        <v>144</v>
      </c>
      <c r="D36" s="2" t="s">
        <v>552</v>
      </c>
      <c r="E36" s="2">
        <v>1216</v>
      </c>
    </row>
    <row r="37" spans="1:5" x14ac:dyDescent="0.35">
      <c r="A37" s="2" t="s">
        <v>587</v>
      </c>
      <c r="B37" s="2" t="s">
        <v>135</v>
      </c>
      <c r="C37" s="2" t="s">
        <v>138</v>
      </c>
      <c r="D37" s="2" t="s">
        <v>552</v>
      </c>
      <c r="E37" s="2">
        <v>1022</v>
      </c>
    </row>
    <row r="38" spans="1:5" x14ac:dyDescent="0.35">
      <c r="A38" s="2" t="s">
        <v>588</v>
      </c>
      <c r="B38" s="2" t="s">
        <v>146</v>
      </c>
      <c r="C38" s="2" t="s">
        <v>138</v>
      </c>
      <c r="D38" s="2" t="s">
        <v>552</v>
      </c>
      <c r="E38" s="2">
        <v>1326</v>
      </c>
    </row>
    <row r="39" spans="1:5" x14ac:dyDescent="0.35">
      <c r="A39" s="2" t="s">
        <v>589</v>
      </c>
      <c r="B39" s="2" t="s">
        <v>146</v>
      </c>
      <c r="C39" s="2" t="s">
        <v>144</v>
      </c>
      <c r="D39" s="2" t="s">
        <v>565</v>
      </c>
      <c r="E39" s="2">
        <v>1598</v>
      </c>
    </row>
    <row r="40" spans="1:5" x14ac:dyDescent="0.35">
      <c r="A40" s="2" t="s">
        <v>590</v>
      </c>
      <c r="B40" s="2" t="s">
        <v>140</v>
      </c>
      <c r="C40" s="2" t="s">
        <v>138</v>
      </c>
      <c r="D40" s="2" t="s">
        <v>559</v>
      </c>
      <c r="E40" s="2">
        <v>369</v>
      </c>
    </row>
    <row r="41" spans="1:5" x14ac:dyDescent="0.35">
      <c r="A41" s="2" t="s">
        <v>591</v>
      </c>
      <c r="B41" s="2" t="s">
        <v>149</v>
      </c>
      <c r="C41" s="2" t="s">
        <v>138</v>
      </c>
      <c r="D41" s="2" t="s">
        <v>559</v>
      </c>
      <c r="E41" s="2">
        <v>1548</v>
      </c>
    </row>
    <row r="42" spans="1:5" x14ac:dyDescent="0.35">
      <c r="A42" s="2" t="s">
        <v>592</v>
      </c>
      <c r="B42" s="2" t="s">
        <v>137</v>
      </c>
      <c r="C42" s="2" t="s">
        <v>139</v>
      </c>
      <c r="D42" s="2" t="s">
        <v>552</v>
      </c>
      <c r="E42" s="2">
        <v>1406</v>
      </c>
    </row>
    <row r="43" spans="1:5" x14ac:dyDescent="0.35">
      <c r="A43" s="2" t="s">
        <v>593</v>
      </c>
      <c r="B43" s="2" t="s">
        <v>149</v>
      </c>
      <c r="C43" s="2" t="s">
        <v>136</v>
      </c>
      <c r="D43" s="2" t="s">
        <v>565</v>
      </c>
      <c r="E43" s="2">
        <v>208</v>
      </c>
    </row>
    <row r="44" spans="1:5" x14ac:dyDescent="0.35">
      <c r="A44" s="2" t="s">
        <v>594</v>
      </c>
      <c r="B44" s="2" t="s">
        <v>149</v>
      </c>
      <c r="C44" s="2" t="s">
        <v>144</v>
      </c>
      <c r="D44" s="2" t="s">
        <v>554</v>
      </c>
      <c r="E44" s="2">
        <v>956</v>
      </c>
    </row>
    <row r="45" spans="1:5" x14ac:dyDescent="0.35">
      <c r="A45" s="2" t="s">
        <v>595</v>
      </c>
      <c r="B45" s="2" t="s">
        <v>551</v>
      </c>
      <c r="C45" s="2" t="s">
        <v>138</v>
      </c>
      <c r="D45" s="2" t="s">
        <v>554</v>
      </c>
      <c r="E45" s="2">
        <v>1464</v>
      </c>
    </row>
    <row r="46" spans="1:5" x14ac:dyDescent="0.35">
      <c r="A46" s="2" t="s">
        <v>596</v>
      </c>
      <c r="B46" s="2" t="s">
        <v>72</v>
      </c>
      <c r="C46" s="2" t="s">
        <v>144</v>
      </c>
      <c r="D46" s="2" t="s">
        <v>554</v>
      </c>
      <c r="E46" s="2">
        <v>1003</v>
      </c>
    </row>
    <row r="47" spans="1:5" x14ac:dyDescent="0.35">
      <c r="A47" s="2" t="s">
        <v>597</v>
      </c>
      <c r="B47" s="2" t="s">
        <v>140</v>
      </c>
      <c r="C47" s="2" t="s">
        <v>144</v>
      </c>
      <c r="D47" s="2" t="s">
        <v>552</v>
      </c>
      <c r="E47" s="2">
        <v>412</v>
      </c>
    </row>
    <row r="48" spans="1:5" x14ac:dyDescent="0.35">
      <c r="A48" s="2" t="s">
        <v>598</v>
      </c>
      <c r="B48" s="2" t="s">
        <v>574</v>
      </c>
      <c r="C48" s="2" t="s">
        <v>144</v>
      </c>
      <c r="D48" s="2" t="s">
        <v>556</v>
      </c>
      <c r="E48" s="2">
        <v>590</v>
      </c>
    </row>
    <row r="49" spans="1:6" x14ac:dyDescent="0.35">
      <c r="A49" s="2" t="s">
        <v>599</v>
      </c>
      <c r="B49" s="2" t="s">
        <v>135</v>
      </c>
      <c r="C49" s="2" t="s">
        <v>138</v>
      </c>
      <c r="D49" s="2" t="s">
        <v>552</v>
      </c>
      <c r="E49" s="2">
        <v>532</v>
      </c>
    </row>
    <row r="50" spans="1:6" x14ac:dyDescent="0.35">
      <c r="A50" s="2" t="s">
        <v>600</v>
      </c>
      <c r="B50" s="2" t="s">
        <v>135</v>
      </c>
      <c r="C50" s="2" t="s">
        <v>136</v>
      </c>
      <c r="D50" s="2" t="s">
        <v>554</v>
      </c>
      <c r="E50" s="2">
        <v>307</v>
      </c>
    </row>
    <row r="51" spans="1:6" x14ac:dyDescent="0.35">
      <c r="A51" s="2" t="s">
        <v>601</v>
      </c>
      <c r="B51" s="2" t="s">
        <v>135</v>
      </c>
      <c r="C51" s="2" t="s">
        <v>139</v>
      </c>
      <c r="D51" s="2" t="s">
        <v>554</v>
      </c>
      <c r="E51" s="2">
        <v>509</v>
      </c>
    </row>
    <row r="52" spans="1:6" x14ac:dyDescent="0.35">
      <c r="A52" s="2" t="s">
        <v>602</v>
      </c>
      <c r="B52" s="2" t="s">
        <v>135</v>
      </c>
      <c r="C52" s="2" t="s">
        <v>136</v>
      </c>
      <c r="D52" s="2" t="s">
        <v>554</v>
      </c>
      <c r="E52" s="2">
        <v>252</v>
      </c>
    </row>
    <row r="53" spans="1:6" x14ac:dyDescent="0.35">
      <c r="A53" s="2" t="s">
        <v>603</v>
      </c>
      <c r="B53" s="2" t="s">
        <v>135</v>
      </c>
      <c r="C53" s="2" t="s">
        <v>138</v>
      </c>
      <c r="D53" s="2" t="s">
        <v>554</v>
      </c>
      <c r="E53" s="2">
        <v>970</v>
      </c>
    </row>
    <row r="54" spans="1:6" x14ac:dyDescent="0.35">
      <c r="A54" s="2" t="s">
        <v>604</v>
      </c>
      <c r="B54" s="2" t="s">
        <v>149</v>
      </c>
      <c r="C54" s="2" t="s">
        <v>136</v>
      </c>
      <c r="D54" s="2" t="s">
        <v>565</v>
      </c>
      <c r="E54" s="2">
        <v>1433</v>
      </c>
    </row>
    <row r="55" spans="1:6" x14ac:dyDescent="0.35">
      <c r="A55" s="2" t="s">
        <v>605</v>
      </c>
      <c r="B55" s="2" t="s">
        <v>551</v>
      </c>
      <c r="C55" s="2" t="s">
        <v>144</v>
      </c>
      <c r="D55" s="2" t="s">
        <v>556</v>
      </c>
      <c r="E55" s="2">
        <v>436</v>
      </c>
    </row>
    <row r="56" spans="1:6" x14ac:dyDescent="0.35">
      <c r="A56" s="2" t="s">
        <v>606</v>
      </c>
      <c r="B56" s="2" t="s">
        <v>574</v>
      </c>
      <c r="C56" s="2" t="s">
        <v>144</v>
      </c>
      <c r="D56" s="2" t="s">
        <v>552</v>
      </c>
      <c r="E56" s="2">
        <v>1190</v>
      </c>
    </row>
    <row r="59" spans="1:6" x14ac:dyDescent="0.35">
      <c r="A59" s="24" t="s">
        <v>607</v>
      </c>
      <c r="B59" s="24"/>
      <c r="C59" s="24"/>
      <c r="D59" s="24"/>
      <c r="E59" s="24"/>
      <c r="F59" s="24"/>
    </row>
    <row r="60" spans="1:6" x14ac:dyDescent="0.35">
      <c r="A60" s="24" t="s">
        <v>608</v>
      </c>
      <c r="B60" s="24"/>
      <c r="C60" s="24"/>
      <c r="D60" s="24"/>
      <c r="E60" s="24"/>
      <c r="F60" s="24"/>
    </row>
    <row r="61" spans="1:6" x14ac:dyDescent="0.35">
      <c r="A61" s="1" t="s">
        <v>133</v>
      </c>
      <c r="B61" s="1" t="s">
        <v>200</v>
      </c>
    </row>
    <row r="62" spans="1:6" x14ac:dyDescent="0.35">
      <c r="A62" s="4" t="s">
        <v>139</v>
      </c>
      <c r="B62" s="4">
        <f>SUMIF($C$7:$C$57,A62,$E$7:$E$57)</f>
        <v>11984</v>
      </c>
    </row>
    <row r="63" spans="1:6" x14ac:dyDescent="0.35">
      <c r="A63" s="4" t="s">
        <v>138</v>
      </c>
      <c r="B63" s="4">
        <f>SUMIF($C$7:$C$57,A63,$E$7:$E$57)</f>
        <v>9228</v>
      </c>
    </row>
    <row r="64" spans="1:6" x14ac:dyDescent="0.35">
      <c r="A64" s="4" t="s">
        <v>136</v>
      </c>
      <c r="B64" s="4">
        <f>SUMIF($C$7:$C$57,A64,$E$7:$E$57)</f>
        <v>11187</v>
      </c>
    </row>
    <row r="65" spans="1:6" x14ac:dyDescent="0.35">
      <c r="A65" s="4" t="s">
        <v>144</v>
      </c>
      <c r="B65" s="4">
        <f>SUMIF($C$7:$C$57,A65,$E$7:$E$57)</f>
        <v>9604</v>
      </c>
    </row>
    <row r="66" spans="1:6" x14ac:dyDescent="0.35">
      <c r="A66" s="4" t="s">
        <v>494</v>
      </c>
      <c r="B66" s="4">
        <f>SUMIF($C$7:$C$57,A66,$E$7:$E$57)</f>
        <v>6985</v>
      </c>
    </row>
    <row r="69" spans="1:6" x14ac:dyDescent="0.35">
      <c r="A69" s="24" t="s">
        <v>609</v>
      </c>
      <c r="B69" s="24"/>
      <c r="C69" s="24"/>
      <c r="D69" s="24"/>
      <c r="E69" s="24"/>
      <c r="F69" s="24"/>
    </row>
    <row r="70" spans="1:6" x14ac:dyDescent="0.35">
      <c r="A70" s="9" t="s">
        <v>506</v>
      </c>
      <c r="B70" s="9" t="s">
        <v>139</v>
      </c>
      <c r="C70" s="9" t="s">
        <v>138</v>
      </c>
      <c r="D70" s="9" t="s">
        <v>136</v>
      </c>
      <c r="E70" s="9" t="s">
        <v>144</v>
      </c>
      <c r="F70" s="9" t="s">
        <v>494</v>
      </c>
    </row>
    <row r="71" spans="1:6" x14ac:dyDescent="0.35">
      <c r="A71" s="4" t="s">
        <v>72</v>
      </c>
      <c r="B71" s="4">
        <f t="shared" ref="B71:F78" si="0">SUMIFS($E$7:$E$57,$B$7:$B$57,$A71,$C$7:$C$57,B$70)</f>
        <v>392</v>
      </c>
      <c r="C71" s="4">
        <f t="shared" si="0"/>
        <v>464</v>
      </c>
      <c r="D71" s="4">
        <f t="shared" si="0"/>
        <v>0</v>
      </c>
      <c r="E71" s="4">
        <f t="shared" si="0"/>
        <v>1003</v>
      </c>
      <c r="F71" s="4">
        <f t="shared" si="0"/>
        <v>0</v>
      </c>
    </row>
    <row r="72" spans="1:6" x14ac:dyDescent="0.35">
      <c r="A72" s="4" t="s">
        <v>135</v>
      </c>
      <c r="B72" s="4">
        <f t="shared" si="0"/>
        <v>3090</v>
      </c>
      <c r="C72" s="4">
        <f t="shared" si="0"/>
        <v>2524</v>
      </c>
      <c r="D72" s="4">
        <f t="shared" si="0"/>
        <v>2186</v>
      </c>
      <c r="E72" s="4">
        <f t="shared" si="0"/>
        <v>0</v>
      </c>
      <c r="F72" s="4">
        <f t="shared" si="0"/>
        <v>2814</v>
      </c>
    </row>
    <row r="73" spans="1:6" x14ac:dyDescent="0.35">
      <c r="A73" s="4" t="s">
        <v>149</v>
      </c>
      <c r="B73" s="4">
        <f t="shared" si="0"/>
        <v>1369</v>
      </c>
      <c r="C73" s="4">
        <f t="shared" si="0"/>
        <v>1548</v>
      </c>
      <c r="D73" s="4">
        <f t="shared" si="0"/>
        <v>3337</v>
      </c>
      <c r="E73" s="4">
        <f t="shared" si="0"/>
        <v>956</v>
      </c>
      <c r="F73" s="4">
        <f t="shared" si="0"/>
        <v>1211</v>
      </c>
    </row>
    <row r="74" spans="1:6" x14ac:dyDescent="0.35">
      <c r="A74" s="4" t="s">
        <v>137</v>
      </c>
      <c r="B74" s="4">
        <f t="shared" si="0"/>
        <v>3308</v>
      </c>
      <c r="C74" s="4">
        <f t="shared" si="0"/>
        <v>0</v>
      </c>
      <c r="D74" s="4">
        <f t="shared" si="0"/>
        <v>1321</v>
      </c>
      <c r="E74" s="4">
        <f t="shared" si="0"/>
        <v>2291</v>
      </c>
      <c r="F74" s="4">
        <f t="shared" si="0"/>
        <v>1381</v>
      </c>
    </row>
    <row r="75" spans="1:6" x14ac:dyDescent="0.35">
      <c r="A75" s="4" t="s">
        <v>146</v>
      </c>
      <c r="B75" s="4">
        <f t="shared" si="0"/>
        <v>0</v>
      </c>
      <c r="C75" s="4">
        <f t="shared" si="0"/>
        <v>1326</v>
      </c>
      <c r="D75" s="4">
        <f t="shared" si="0"/>
        <v>0</v>
      </c>
      <c r="E75" s="4">
        <f t="shared" si="0"/>
        <v>1598</v>
      </c>
      <c r="F75" s="4">
        <f t="shared" si="0"/>
        <v>0</v>
      </c>
    </row>
    <row r="76" spans="1:6" x14ac:dyDescent="0.35">
      <c r="A76" s="4" t="s">
        <v>551</v>
      </c>
      <c r="B76" s="4">
        <f t="shared" si="0"/>
        <v>927</v>
      </c>
      <c r="C76" s="4">
        <f t="shared" si="0"/>
        <v>2997</v>
      </c>
      <c r="D76" s="4">
        <f t="shared" si="0"/>
        <v>1985</v>
      </c>
      <c r="E76" s="4">
        <f t="shared" si="0"/>
        <v>1564</v>
      </c>
      <c r="F76" s="4">
        <f t="shared" si="0"/>
        <v>1239</v>
      </c>
    </row>
    <row r="77" spans="1:6" x14ac:dyDescent="0.35">
      <c r="A77" s="4" t="s">
        <v>140</v>
      </c>
      <c r="B77" s="4">
        <f t="shared" si="0"/>
        <v>2898</v>
      </c>
      <c r="C77" s="4">
        <f t="shared" si="0"/>
        <v>369</v>
      </c>
      <c r="D77" s="4">
        <f t="shared" si="0"/>
        <v>0</v>
      </c>
      <c r="E77" s="4">
        <f t="shared" si="0"/>
        <v>412</v>
      </c>
      <c r="F77" s="4">
        <f t="shared" si="0"/>
        <v>0</v>
      </c>
    </row>
    <row r="78" spans="1:6" x14ac:dyDescent="0.35">
      <c r="A78" s="4" t="s">
        <v>574</v>
      </c>
      <c r="B78" s="4">
        <f t="shared" si="0"/>
        <v>0</v>
      </c>
      <c r="C78" s="4">
        <f t="shared" si="0"/>
        <v>0</v>
      </c>
      <c r="D78" s="4">
        <f t="shared" si="0"/>
        <v>2358</v>
      </c>
      <c r="E78" s="4">
        <f t="shared" si="0"/>
        <v>1780</v>
      </c>
      <c r="F78" s="4">
        <f t="shared" si="0"/>
        <v>340</v>
      </c>
    </row>
    <row r="80" spans="1:6" x14ac:dyDescent="0.35">
      <c r="A80" s="24" t="s">
        <v>610</v>
      </c>
      <c r="B80" s="24"/>
      <c r="C80" s="24"/>
      <c r="D80" s="24"/>
      <c r="E80" s="24"/>
      <c r="F80" s="24"/>
    </row>
    <row r="81" spans="1:6" ht="28" x14ac:dyDescent="0.35">
      <c r="A81" s="1" t="s">
        <v>549</v>
      </c>
      <c r="B81" s="1" t="s">
        <v>611</v>
      </c>
    </row>
    <row r="82" spans="1:6" x14ac:dyDescent="0.35">
      <c r="A82" s="4" t="s">
        <v>556</v>
      </c>
      <c r="B82" s="4">
        <f>COUNTIF($D$7:$D$57,A82)</f>
        <v>9</v>
      </c>
    </row>
    <row r="83" spans="1:6" x14ac:dyDescent="0.35">
      <c r="A83" s="4" t="s">
        <v>559</v>
      </c>
      <c r="B83" s="4">
        <f>COUNTIF($D$7:$D$57,A83)</f>
        <v>6</v>
      </c>
    </row>
    <row r="84" spans="1:6" x14ac:dyDescent="0.35">
      <c r="A84" s="4" t="s">
        <v>565</v>
      </c>
      <c r="B84" s="4">
        <f>COUNTIF($D$7:$D$57,A84)</f>
        <v>7</v>
      </c>
    </row>
    <row r="85" spans="1:6" x14ac:dyDescent="0.35">
      <c r="A85" s="4" t="s">
        <v>552</v>
      </c>
      <c r="B85" s="4">
        <f>COUNTIF($D$7:$D$57,A85)</f>
        <v>14</v>
      </c>
    </row>
    <row r="86" spans="1:6" x14ac:dyDescent="0.35">
      <c r="A86" s="4" t="s">
        <v>554</v>
      </c>
      <c r="B86" s="4">
        <f>COUNTIF($D$7:$D$57,A86)</f>
        <v>14</v>
      </c>
    </row>
    <row r="89" spans="1:6" x14ac:dyDescent="0.35">
      <c r="A89" s="24" t="s">
        <v>612</v>
      </c>
      <c r="B89" s="24"/>
      <c r="C89" s="24"/>
      <c r="D89" s="24"/>
      <c r="E89" s="24"/>
      <c r="F89" s="24"/>
    </row>
    <row r="90" spans="1:6" x14ac:dyDescent="0.35">
      <c r="A90" s="4" t="s">
        <v>613</v>
      </c>
      <c r="B90" s="4" t="s">
        <v>139</v>
      </c>
    </row>
    <row r="91" spans="1:6" x14ac:dyDescent="0.35">
      <c r="A91" s="4" t="s">
        <v>614</v>
      </c>
      <c r="B91" s="4">
        <f>SUMIF($C$7:$C$57,B90,$E$7:$E$57)</f>
        <v>11984</v>
      </c>
    </row>
    <row r="93" spans="1:6" ht="27.75" customHeight="1" x14ac:dyDescent="0.35">
      <c r="A93" s="25" t="s">
        <v>615</v>
      </c>
      <c r="B93" s="25"/>
      <c r="C93" s="25"/>
      <c r="D93" s="25"/>
      <c r="E93" s="25"/>
      <c r="F93" s="25"/>
    </row>
  </sheetData>
  <mergeCells count="8">
    <mergeCell ref="A80:F80"/>
    <mergeCell ref="A89:F89"/>
    <mergeCell ref="A93:F93"/>
    <mergeCell ref="A1:F1"/>
    <mergeCell ref="A2:G2"/>
    <mergeCell ref="A59:F59"/>
    <mergeCell ref="A60:F60"/>
    <mergeCell ref="A69:F69"/>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3"/>
  <sheetViews>
    <sheetView showGridLines="0" topLeftCell="A9" zoomScaleNormal="100" workbookViewId="0">
      <selection sqref="A1:F1"/>
    </sheetView>
  </sheetViews>
  <sheetFormatPr defaultColWidth="8.6328125" defaultRowHeight="14.5" x14ac:dyDescent="0.35"/>
  <cols>
    <col min="1" max="4" width="16" customWidth="1"/>
  </cols>
  <sheetData>
    <row r="1" spans="1:7" ht="18" x14ac:dyDescent="0.4">
      <c r="A1" s="26" t="s">
        <v>616</v>
      </c>
      <c r="B1" s="26"/>
      <c r="C1" s="26"/>
      <c r="D1" s="26"/>
      <c r="E1" s="26"/>
      <c r="F1" s="26"/>
    </row>
    <row r="2" spans="1:7" ht="27.75" customHeight="1" x14ac:dyDescent="0.35">
      <c r="A2" s="25" t="s">
        <v>617</v>
      </c>
      <c r="B2" s="25"/>
      <c r="C2" s="25"/>
      <c r="D2" s="25"/>
      <c r="E2" s="25"/>
      <c r="F2" s="25"/>
      <c r="G2" s="25"/>
    </row>
    <row r="6" spans="1:7" x14ac:dyDescent="0.35">
      <c r="A6" s="1" t="s">
        <v>315</v>
      </c>
      <c r="B6" s="1" t="s">
        <v>124</v>
      </c>
    </row>
    <row r="7" spans="1:7" x14ac:dyDescent="0.35">
      <c r="A7" s="6">
        <v>45664</v>
      </c>
      <c r="B7" s="2">
        <v>1104</v>
      </c>
    </row>
    <row r="8" spans="1:7" x14ac:dyDescent="0.35">
      <c r="A8" s="6">
        <v>45665</v>
      </c>
      <c r="B8" s="2">
        <v>855</v>
      </c>
    </row>
    <row r="9" spans="1:7" x14ac:dyDescent="0.35">
      <c r="A9" s="6">
        <v>45672</v>
      </c>
      <c r="B9" s="2">
        <v>1049</v>
      </c>
    </row>
    <row r="10" spans="1:7" x14ac:dyDescent="0.35">
      <c r="A10" s="6">
        <v>45673</v>
      </c>
      <c r="B10" s="2">
        <v>1015</v>
      </c>
    </row>
    <row r="11" spans="1:7" x14ac:dyDescent="0.35">
      <c r="A11" s="6">
        <v>45676</v>
      </c>
      <c r="B11" s="2">
        <v>475</v>
      </c>
    </row>
    <row r="12" spans="1:7" x14ac:dyDescent="0.35">
      <c r="A12" s="6">
        <v>45690</v>
      </c>
      <c r="B12" s="2">
        <v>317</v>
      </c>
    </row>
    <row r="13" spans="1:7" x14ac:dyDescent="0.35">
      <c r="A13" s="6">
        <v>45692</v>
      </c>
      <c r="B13" s="2">
        <v>581</v>
      </c>
    </row>
    <row r="14" spans="1:7" x14ac:dyDescent="0.35">
      <c r="A14" s="6">
        <v>45697</v>
      </c>
      <c r="B14" s="2">
        <v>264</v>
      </c>
    </row>
    <row r="15" spans="1:7" x14ac:dyDescent="0.35">
      <c r="A15" s="6">
        <v>45703</v>
      </c>
      <c r="B15" s="2">
        <v>511</v>
      </c>
    </row>
    <row r="16" spans="1:7" x14ac:dyDescent="0.35">
      <c r="A16" s="6">
        <v>45707</v>
      </c>
      <c r="B16" s="2">
        <v>188</v>
      </c>
    </row>
    <row r="17" spans="1:2" x14ac:dyDescent="0.35">
      <c r="A17" s="6">
        <v>45710</v>
      </c>
      <c r="B17" s="2">
        <v>801</v>
      </c>
    </row>
    <row r="18" spans="1:2" x14ac:dyDescent="0.35">
      <c r="A18" s="6">
        <v>45718</v>
      </c>
      <c r="B18" s="2">
        <v>196</v>
      </c>
    </row>
    <row r="19" spans="1:2" x14ac:dyDescent="0.35">
      <c r="A19" s="6">
        <v>45721</v>
      </c>
      <c r="B19" s="2">
        <v>217</v>
      </c>
    </row>
    <row r="20" spans="1:2" x14ac:dyDescent="0.35">
      <c r="A20" s="6">
        <v>45724</v>
      </c>
      <c r="B20" s="2">
        <v>538</v>
      </c>
    </row>
    <row r="21" spans="1:2" x14ac:dyDescent="0.35">
      <c r="A21" s="6">
        <v>45726</v>
      </c>
      <c r="B21" s="2">
        <v>1073</v>
      </c>
    </row>
    <row r="22" spans="1:2" x14ac:dyDescent="0.35">
      <c r="A22" s="6">
        <v>45728</v>
      </c>
      <c r="B22" s="2">
        <v>1091</v>
      </c>
    </row>
    <row r="23" spans="1:2" x14ac:dyDescent="0.35">
      <c r="A23" s="6">
        <v>45735</v>
      </c>
      <c r="B23" s="2">
        <v>171</v>
      </c>
    </row>
    <row r="24" spans="1:2" x14ac:dyDescent="0.35">
      <c r="A24" s="6">
        <v>45737</v>
      </c>
      <c r="B24" s="2">
        <v>874</v>
      </c>
    </row>
    <row r="25" spans="1:2" x14ac:dyDescent="0.35">
      <c r="A25" s="6">
        <v>45741</v>
      </c>
      <c r="B25" s="2">
        <v>884</v>
      </c>
    </row>
    <row r="26" spans="1:2" x14ac:dyDescent="0.35">
      <c r="A26" s="6">
        <v>45759</v>
      </c>
      <c r="B26" s="2">
        <v>1170</v>
      </c>
    </row>
    <row r="27" spans="1:2" x14ac:dyDescent="0.35">
      <c r="A27" s="6">
        <v>45776</v>
      </c>
      <c r="B27" s="2">
        <v>817</v>
      </c>
    </row>
    <row r="28" spans="1:2" x14ac:dyDescent="0.35">
      <c r="A28" s="6">
        <v>45777</v>
      </c>
      <c r="B28" s="2">
        <v>351</v>
      </c>
    </row>
    <row r="29" spans="1:2" x14ac:dyDescent="0.35">
      <c r="A29" s="6">
        <v>45779</v>
      </c>
      <c r="B29" s="2">
        <v>772</v>
      </c>
    </row>
    <row r="30" spans="1:2" x14ac:dyDescent="0.35">
      <c r="A30" s="6">
        <v>45795</v>
      </c>
      <c r="B30" s="2">
        <v>646</v>
      </c>
    </row>
    <row r="31" spans="1:2" x14ac:dyDescent="0.35">
      <c r="A31" s="6">
        <v>45800</v>
      </c>
      <c r="B31" s="2">
        <v>681</v>
      </c>
    </row>
    <row r="32" spans="1:2" x14ac:dyDescent="0.35">
      <c r="A32" s="6">
        <v>45807</v>
      </c>
      <c r="B32" s="2">
        <v>791</v>
      </c>
    </row>
    <row r="33" spans="1:2" x14ac:dyDescent="0.35">
      <c r="A33" s="6">
        <v>45825</v>
      </c>
      <c r="B33" s="2">
        <v>1163</v>
      </c>
    </row>
    <row r="34" spans="1:2" x14ac:dyDescent="0.35">
      <c r="A34" s="6">
        <v>45827</v>
      </c>
      <c r="B34" s="2">
        <v>728</v>
      </c>
    </row>
    <row r="35" spans="1:2" x14ac:dyDescent="0.35">
      <c r="A35" s="6">
        <v>45830</v>
      </c>
      <c r="B35" s="2">
        <v>866</v>
      </c>
    </row>
    <row r="36" spans="1:2" x14ac:dyDescent="0.35">
      <c r="A36" s="6">
        <v>45831</v>
      </c>
      <c r="B36" s="2">
        <v>480</v>
      </c>
    </row>
    <row r="37" spans="1:2" x14ac:dyDescent="0.35">
      <c r="A37" s="6">
        <v>45851</v>
      </c>
      <c r="B37" s="2">
        <v>546</v>
      </c>
    </row>
    <row r="38" spans="1:2" x14ac:dyDescent="0.35">
      <c r="A38" s="6">
        <v>45851</v>
      </c>
      <c r="B38" s="2">
        <v>904</v>
      </c>
    </row>
    <row r="39" spans="1:2" x14ac:dyDescent="0.35">
      <c r="A39" s="6">
        <v>45855</v>
      </c>
      <c r="B39" s="2">
        <v>753</v>
      </c>
    </row>
    <row r="40" spans="1:2" x14ac:dyDescent="0.35">
      <c r="A40" s="6">
        <v>45856</v>
      </c>
      <c r="B40" s="2">
        <v>900</v>
      </c>
    </row>
    <row r="41" spans="1:2" x14ac:dyDescent="0.35">
      <c r="A41" s="6">
        <v>45873</v>
      </c>
      <c r="B41" s="2">
        <v>683</v>
      </c>
    </row>
    <row r="42" spans="1:2" x14ac:dyDescent="0.35">
      <c r="A42" s="6">
        <v>45876</v>
      </c>
      <c r="B42" s="2">
        <v>565</v>
      </c>
    </row>
    <row r="43" spans="1:2" x14ac:dyDescent="0.35">
      <c r="A43" s="6">
        <v>45876</v>
      </c>
      <c r="B43" s="2">
        <v>957</v>
      </c>
    </row>
    <row r="44" spans="1:2" x14ac:dyDescent="0.35">
      <c r="A44" s="6">
        <v>45898</v>
      </c>
      <c r="B44" s="2">
        <v>422</v>
      </c>
    </row>
    <row r="45" spans="1:2" x14ac:dyDescent="0.35">
      <c r="A45" s="6">
        <v>45898</v>
      </c>
      <c r="B45" s="2">
        <v>718</v>
      </c>
    </row>
    <row r="46" spans="1:2" x14ac:dyDescent="0.35">
      <c r="A46" s="6">
        <v>45911</v>
      </c>
      <c r="B46" s="2">
        <v>378</v>
      </c>
    </row>
    <row r="47" spans="1:2" x14ac:dyDescent="0.35">
      <c r="A47" s="6">
        <v>45924</v>
      </c>
      <c r="B47" s="2">
        <v>556</v>
      </c>
    </row>
    <row r="48" spans="1:2" x14ac:dyDescent="0.35">
      <c r="A48" s="6">
        <v>45925</v>
      </c>
      <c r="B48" s="2">
        <v>559</v>
      </c>
    </row>
    <row r="49" spans="1:2" x14ac:dyDescent="0.35">
      <c r="A49" s="6">
        <v>45931</v>
      </c>
      <c r="B49" s="2">
        <v>764</v>
      </c>
    </row>
    <row r="50" spans="1:2" x14ac:dyDescent="0.35">
      <c r="A50" s="6">
        <v>45932</v>
      </c>
      <c r="B50" s="2">
        <v>183</v>
      </c>
    </row>
    <row r="51" spans="1:2" x14ac:dyDescent="0.35">
      <c r="A51" s="6">
        <v>45939</v>
      </c>
      <c r="B51" s="2">
        <v>650</v>
      </c>
    </row>
    <row r="52" spans="1:2" x14ac:dyDescent="0.35">
      <c r="A52" s="6">
        <v>45950</v>
      </c>
      <c r="B52" s="2">
        <v>748</v>
      </c>
    </row>
    <row r="53" spans="1:2" x14ac:dyDescent="0.35">
      <c r="A53" s="6">
        <v>45951</v>
      </c>
      <c r="B53" s="2">
        <v>430</v>
      </c>
    </row>
    <row r="54" spans="1:2" x14ac:dyDescent="0.35">
      <c r="A54" s="6">
        <v>45953</v>
      </c>
      <c r="B54" s="2">
        <v>617</v>
      </c>
    </row>
    <row r="55" spans="1:2" x14ac:dyDescent="0.35">
      <c r="A55" s="6">
        <v>45955</v>
      </c>
      <c r="B55" s="2">
        <v>219</v>
      </c>
    </row>
    <row r="56" spans="1:2" x14ac:dyDescent="0.35">
      <c r="A56" s="6">
        <v>45957</v>
      </c>
      <c r="B56" s="2">
        <v>394</v>
      </c>
    </row>
    <row r="57" spans="1:2" x14ac:dyDescent="0.35">
      <c r="A57" s="6">
        <v>45960</v>
      </c>
      <c r="B57" s="2">
        <v>195</v>
      </c>
    </row>
    <row r="58" spans="1:2" x14ac:dyDescent="0.35">
      <c r="A58" s="6">
        <v>45962</v>
      </c>
      <c r="B58" s="2">
        <v>865</v>
      </c>
    </row>
    <row r="59" spans="1:2" x14ac:dyDescent="0.35">
      <c r="A59" s="6">
        <v>45967</v>
      </c>
      <c r="B59" s="2">
        <v>648</v>
      </c>
    </row>
    <row r="60" spans="1:2" x14ac:dyDescent="0.35">
      <c r="A60" s="6">
        <v>45968</v>
      </c>
      <c r="B60" s="2">
        <v>855</v>
      </c>
    </row>
    <row r="61" spans="1:2" x14ac:dyDescent="0.35">
      <c r="A61" s="6">
        <v>45972</v>
      </c>
      <c r="B61" s="2">
        <v>950</v>
      </c>
    </row>
    <row r="62" spans="1:2" x14ac:dyDescent="0.35">
      <c r="A62" s="6">
        <v>45978</v>
      </c>
      <c r="B62" s="2">
        <v>1048</v>
      </c>
    </row>
    <row r="63" spans="1:2" x14ac:dyDescent="0.35">
      <c r="A63" s="6">
        <v>45985</v>
      </c>
      <c r="B63" s="2">
        <v>1054</v>
      </c>
    </row>
    <row r="64" spans="1:2" x14ac:dyDescent="0.35">
      <c r="A64" s="6">
        <v>45985</v>
      </c>
      <c r="B64" s="2">
        <v>1189</v>
      </c>
    </row>
    <row r="65" spans="1:6" x14ac:dyDescent="0.35">
      <c r="A65" s="6">
        <v>45993</v>
      </c>
      <c r="B65" s="2">
        <v>372</v>
      </c>
    </row>
    <row r="66" spans="1:6" x14ac:dyDescent="0.35">
      <c r="A66" s="6">
        <v>46002</v>
      </c>
      <c r="B66" s="2">
        <v>608</v>
      </c>
    </row>
    <row r="69" spans="1:6" x14ac:dyDescent="0.35">
      <c r="A69" s="24" t="s">
        <v>618</v>
      </c>
      <c r="B69" s="24"/>
      <c r="C69" s="24"/>
      <c r="D69" s="24"/>
      <c r="E69" s="24"/>
      <c r="F69" s="24"/>
    </row>
    <row r="70" spans="1:6" ht="28" x14ac:dyDescent="0.35">
      <c r="A70" s="1" t="s">
        <v>619</v>
      </c>
      <c r="B70" s="1" t="s">
        <v>620</v>
      </c>
      <c r="C70" s="1" t="s">
        <v>621</v>
      </c>
    </row>
    <row r="71" spans="1:6" x14ac:dyDescent="0.35">
      <c r="A71" s="4" t="s">
        <v>501</v>
      </c>
      <c r="B71" s="4">
        <v>1</v>
      </c>
      <c r="C71" s="4">
        <f t="shared" ref="C71:C82" si="0">SUMPRODUCT((MONTH($A$7:$A$67)=B71)*(YEAR($A$7:$A$67)=2025)*$B$7:$B$67)</f>
        <v>4498</v>
      </c>
    </row>
    <row r="72" spans="1:6" x14ac:dyDescent="0.35">
      <c r="A72" s="4" t="s">
        <v>502</v>
      </c>
      <c r="B72" s="4">
        <v>2</v>
      </c>
      <c r="C72" s="4">
        <f t="shared" si="0"/>
        <v>2662</v>
      </c>
    </row>
    <row r="73" spans="1:6" x14ac:dyDescent="0.35">
      <c r="A73" s="4" t="s">
        <v>503</v>
      </c>
      <c r="B73" s="4">
        <v>3</v>
      </c>
      <c r="C73" s="4">
        <f t="shared" si="0"/>
        <v>5044</v>
      </c>
    </row>
    <row r="74" spans="1:6" x14ac:dyDescent="0.35">
      <c r="A74" s="4" t="s">
        <v>622</v>
      </c>
      <c r="B74" s="4">
        <v>4</v>
      </c>
      <c r="C74" s="4">
        <f t="shared" si="0"/>
        <v>2338</v>
      </c>
    </row>
    <row r="75" spans="1:6" x14ac:dyDescent="0.35">
      <c r="A75" s="4" t="s">
        <v>623</v>
      </c>
      <c r="B75" s="4">
        <v>5</v>
      </c>
      <c r="C75" s="4">
        <f t="shared" si="0"/>
        <v>2890</v>
      </c>
    </row>
    <row r="76" spans="1:6" x14ac:dyDescent="0.35">
      <c r="A76" s="4" t="s">
        <v>624</v>
      </c>
      <c r="B76" s="4">
        <v>6</v>
      </c>
      <c r="C76" s="4">
        <f t="shared" si="0"/>
        <v>3237</v>
      </c>
    </row>
    <row r="77" spans="1:6" x14ac:dyDescent="0.35">
      <c r="A77" s="4" t="s">
        <v>625</v>
      </c>
      <c r="B77" s="4">
        <v>7</v>
      </c>
      <c r="C77" s="4">
        <f t="shared" si="0"/>
        <v>3103</v>
      </c>
    </row>
    <row r="78" spans="1:6" x14ac:dyDescent="0.35">
      <c r="A78" s="4" t="s">
        <v>626</v>
      </c>
      <c r="B78" s="4">
        <v>8</v>
      </c>
      <c r="C78" s="4">
        <f t="shared" si="0"/>
        <v>3345</v>
      </c>
    </row>
    <row r="79" spans="1:6" x14ac:dyDescent="0.35">
      <c r="A79" s="4" t="s">
        <v>627</v>
      </c>
      <c r="B79" s="4">
        <v>9</v>
      </c>
      <c r="C79" s="4">
        <f t="shared" si="0"/>
        <v>1493</v>
      </c>
    </row>
    <row r="80" spans="1:6" x14ac:dyDescent="0.35">
      <c r="A80" s="4" t="s">
        <v>628</v>
      </c>
      <c r="B80" s="4">
        <v>10</v>
      </c>
      <c r="C80" s="4">
        <f t="shared" si="0"/>
        <v>4200</v>
      </c>
    </row>
    <row r="81" spans="1:6" x14ac:dyDescent="0.35">
      <c r="A81" s="4" t="s">
        <v>629</v>
      </c>
      <c r="B81" s="4">
        <v>11</v>
      </c>
      <c r="C81" s="4">
        <f t="shared" si="0"/>
        <v>6609</v>
      </c>
    </row>
    <row r="82" spans="1:6" x14ac:dyDescent="0.35">
      <c r="A82" s="4" t="s">
        <v>630</v>
      </c>
      <c r="B82" s="4">
        <v>12</v>
      </c>
      <c r="C82" s="4">
        <f t="shared" si="0"/>
        <v>980</v>
      </c>
    </row>
    <row r="85" spans="1:6" x14ac:dyDescent="0.35">
      <c r="A85" s="24" t="s">
        <v>631</v>
      </c>
      <c r="B85" s="24"/>
      <c r="C85" s="24"/>
      <c r="D85" s="24"/>
      <c r="E85" s="24"/>
      <c r="F85" s="24"/>
    </row>
    <row r="86" spans="1:6" x14ac:dyDescent="0.35">
      <c r="A86" s="1" t="s">
        <v>632</v>
      </c>
      <c r="B86" s="1" t="s">
        <v>633</v>
      </c>
    </row>
    <row r="87" spans="1:6" x14ac:dyDescent="0.35">
      <c r="A87" s="4" t="s">
        <v>634</v>
      </c>
      <c r="B87" s="4">
        <f>SUMPRODUCT((ROUNDUP(MONTH($A$7:$A$67)/3,0)=1)*$B$7:$B$67)</f>
        <v>12204</v>
      </c>
    </row>
    <row r="88" spans="1:6" x14ac:dyDescent="0.35">
      <c r="A88" s="4" t="s">
        <v>635</v>
      </c>
      <c r="B88" s="4">
        <f>SUMPRODUCT((ROUNDUP(MONTH($A$7:$A$67)/3,0)=2)*$B$7:$B$67)</f>
        <v>8465</v>
      </c>
    </row>
    <row r="89" spans="1:6" x14ac:dyDescent="0.35">
      <c r="A89" s="4" t="s">
        <v>636</v>
      </c>
      <c r="B89" s="4">
        <f>SUMPRODUCT((ROUNDUP(MONTH($A$7:$A$67)/3,0)=3)*$B$7:$B$67)</f>
        <v>7941</v>
      </c>
    </row>
    <row r="90" spans="1:6" x14ac:dyDescent="0.35">
      <c r="A90" s="4" t="s">
        <v>637</v>
      </c>
      <c r="B90" s="4">
        <f>SUMPRODUCT((ROUNDUP(MONTH($A$7:$A$67)/3,0)=4)*$B$7:$B$67)</f>
        <v>11789</v>
      </c>
    </row>
    <row r="93" spans="1:6" x14ac:dyDescent="0.35">
      <c r="A93" s="24" t="s">
        <v>638</v>
      </c>
      <c r="B93" s="24"/>
      <c r="C93" s="24"/>
      <c r="D93" s="24"/>
      <c r="E93" s="24"/>
      <c r="F93" s="24"/>
    </row>
    <row r="94" spans="1:6" ht="42" x14ac:dyDescent="0.35">
      <c r="A94" s="1" t="s">
        <v>619</v>
      </c>
      <c r="B94" s="1" t="s">
        <v>633</v>
      </c>
      <c r="C94" s="1" t="s">
        <v>611</v>
      </c>
      <c r="D94" s="1" t="s">
        <v>639</v>
      </c>
    </row>
    <row r="95" spans="1:6" x14ac:dyDescent="0.35">
      <c r="A95" s="4" t="s">
        <v>501</v>
      </c>
      <c r="B95" s="4">
        <f t="shared" ref="B95:B100" si="1">SUMPRODUCT((MONTH($A$7:$A$67)=B71)*$B$7:$B$67)</f>
        <v>4498</v>
      </c>
      <c r="C95" s="4">
        <f t="shared" ref="C95:C100" si="2">SUMPRODUCT((MONTH($A$7:$A$67)=B71)*1)</f>
        <v>6</v>
      </c>
      <c r="D95" s="4">
        <f t="shared" ref="D95:D100" si="3">IFERROR(B95/C95,0)</f>
        <v>749.66666666666663</v>
      </c>
    </row>
    <row r="96" spans="1:6" x14ac:dyDescent="0.35">
      <c r="A96" s="4" t="s">
        <v>502</v>
      </c>
      <c r="B96" s="4">
        <f t="shared" si="1"/>
        <v>2662</v>
      </c>
      <c r="C96" s="4">
        <f t="shared" si="2"/>
        <v>6</v>
      </c>
      <c r="D96" s="4">
        <f t="shared" si="3"/>
        <v>443.66666666666669</v>
      </c>
    </row>
    <row r="97" spans="1:6" x14ac:dyDescent="0.35">
      <c r="A97" s="4" t="s">
        <v>503</v>
      </c>
      <c r="B97" s="4">
        <f t="shared" si="1"/>
        <v>5044</v>
      </c>
      <c r="C97" s="4">
        <f t="shared" si="2"/>
        <v>8</v>
      </c>
      <c r="D97" s="4">
        <f t="shared" si="3"/>
        <v>630.5</v>
      </c>
    </row>
    <row r="98" spans="1:6" x14ac:dyDescent="0.35">
      <c r="A98" s="4" t="s">
        <v>622</v>
      </c>
      <c r="B98" s="4">
        <f t="shared" si="1"/>
        <v>2338</v>
      </c>
      <c r="C98" s="4">
        <f t="shared" si="2"/>
        <v>3</v>
      </c>
      <c r="D98" s="4">
        <f t="shared" si="3"/>
        <v>779.33333333333337</v>
      </c>
    </row>
    <row r="99" spans="1:6" x14ac:dyDescent="0.35">
      <c r="A99" s="4" t="s">
        <v>623</v>
      </c>
      <c r="B99" s="4">
        <f t="shared" si="1"/>
        <v>2890</v>
      </c>
      <c r="C99" s="4">
        <f t="shared" si="2"/>
        <v>4</v>
      </c>
      <c r="D99" s="4">
        <f t="shared" si="3"/>
        <v>722.5</v>
      </c>
    </row>
    <row r="100" spans="1:6" x14ac:dyDescent="0.35">
      <c r="A100" s="4" t="s">
        <v>624</v>
      </c>
      <c r="B100" s="4">
        <f t="shared" si="1"/>
        <v>3237</v>
      </c>
      <c r="C100" s="4">
        <f t="shared" si="2"/>
        <v>4</v>
      </c>
      <c r="D100" s="4">
        <f t="shared" si="3"/>
        <v>809.25</v>
      </c>
    </row>
    <row r="101" spans="1:6" ht="27.75" customHeight="1" x14ac:dyDescent="0.35">
      <c r="A101" s="25" t="s">
        <v>640</v>
      </c>
      <c r="B101" s="25"/>
      <c r="C101" s="25"/>
      <c r="D101" s="25"/>
      <c r="E101" s="25"/>
      <c r="F101" s="25"/>
    </row>
    <row r="103" spans="1:6" ht="27.75" customHeight="1" x14ac:dyDescent="0.35">
      <c r="A103" s="25" t="s">
        <v>641</v>
      </c>
      <c r="B103" s="25"/>
      <c r="C103" s="25"/>
      <c r="D103" s="25"/>
      <c r="E103" s="25"/>
      <c r="F103" s="25"/>
    </row>
  </sheetData>
  <mergeCells count="7">
    <mergeCell ref="A101:F101"/>
    <mergeCell ref="A103:F103"/>
    <mergeCell ref="A1:F1"/>
    <mergeCell ref="A2:G2"/>
    <mergeCell ref="A69:F69"/>
    <mergeCell ref="A85:F85"/>
    <mergeCell ref="A93:F93"/>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showGridLines="0" zoomScaleNormal="100" workbookViewId="0">
      <selection sqref="A1:F1"/>
    </sheetView>
  </sheetViews>
  <sheetFormatPr defaultColWidth="8.6328125" defaultRowHeight="14.5" x14ac:dyDescent="0.35"/>
  <cols>
    <col min="1" max="1" width="14" customWidth="1"/>
    <col min="2" max="3" width="20" customWidth="1"/>
    <col min="4" max="4" width="16" customWidth="1"/>
    <col min="5" max="5" width="20" customWidth="1"/>
  </cols>
  <sheetData>
    <row r="1" spans="1:7" ht="18" x14ac:dyDescent="0.4">
      <c r="A1" s="26" t="s">
        <v>642</v>
      </c>
      <c r="B1" s="26"/>
      <c r="C1" s="26"/>
      <c r="D1" s="26"/>
      <c r="E1" s="26"/>
      <c r="F1" s="26"/>
    </row>
    <row r="2" spans="1:7" ht="27.75" customHeight="1" x14ac:dyDescent="0.35">
      <c r="A2" s="25" t="s">
        <v>643</v>
      </c>
      <c r="B2" s="25"/>
      <c r="C2" s="25"/>
      <c r="D2" s="25"/>
      <c r="E2" s="25"/>
      <c r="F2" s="25"/>
      <c r="G2" s="25"/>
    </row>
    <row r="5" spans="1:7" x14ac:dyDescent="0.35">
      <c r="A5" s="1" t="s">
        <v>312</v>
      </c>
      <c r="B5" s="1" t="s">
        <v>644</v>
      </c>
      <c r="C5" s="1" t="s">
        <v>645</v>
      </c>
      <c r="D5" s="1" t="s">
        <v>646</v>
      </c>
      <c r="E5" s="1" t="s">
        <v>647</v>
      </c>
    </row>
    <row r="6" spans="1:7" x14ac:dyDescent="0.35">
      <c r="A6" s="6">
        <v>45738</v>
      </c>
      <c r="B6" s="2" t="s">
        <v>82</v>
      </c>
      <c r="C6" s="2" t="s">
        <v>83</v>
      </c>
      <c r="D6" s="2" t="s">
        <v>648</v>
      </c>
      <c r="E6" s="2" t="s">
        <v>83</v>
      </c>
    </row>
    <row r="7" spans="1:7" x14ac:dyDescent="0.35">
      <c r="A7" s="6">
        <v>45739</v>
      </c>
      <c r="B7" s="2" t="s">
        <v>83</v>
      </c>
      <c r="C7" s="2" t="s">
        <v>80</v>
      </c>
      <c r="D7" s="2" t="s">
        <v>648</v>
      </c>
      <c r="E7" s="2" t="s">
        <v>83</v>
      </c>
    </row>
    <row r="8" spans="1:7" x14ac:dyDescent="0.35">
      <c r="A8" s="6">
        <v>45740</v>
      </c>
      <c r="B8" s="2" t="s">
        <v>82</v>
      </c>
      <c r="C8" s="2" t="s">
        <v>80</v>
      </c>
      <c r="D8" s="2" t="s">
        <v>649</v>
      </c>
      <c r="E8" s="2" t="s">
        <v>82</v>
      </c>
    </row>
    <row r="9" spans="1:7" x14ac:dyDescent="0.35">
      <c r="A9" s="6">
        <v>45741</v>
      </c>
      <c r="B9" s="2" t="s">
        <v>81</v>
      </c>
      <c r="C9" s="2" t="s">
        <v>80</v>
      </c>
      <c r="D9" s="2" t="s">
        <v>648</v>
      </c>
      <c r="E9" s="2" t="s">
        <v>81</v>
      </c>
    </row>
    <row r="10" spans="1:7" x14ac:dyDescent="0.35">
      <c r="A10" s="6">
        <v>45742</v>
      </c>
      <c r="B10" s="2" t="s">
        <v>79</v>
      </c>
      <c r="C10" s="2" t="s">
        <v>82</v>
      </c>
      <c r="D10" s="2" t="s">
        <v>648</v>
      </c>
      <c r="E10" s="2" t="s">
        <v>82</v>
      </c>
    </row>
    <row r="11" spans="1:7" x14ac:dyDescent="0.35">
      <c r="A11" s="6">
        <v>45743</v>
      </c>
      <c r="B11" s="2" t="s">
        <v>80</v>
      </c>
      <c r="C11" s="2" t="s">
        <v>79</v>
      </c>
      <c r="D11" s="2" t="s">
        <v>650</v>
      </c>
      <c r="E11" s="2" t="s">
        <v>80</v>
      </c>
    </row>
    <row r="12" spans="1:7" x14ac:dyDescent="0.35">
      <c r="A12" s="6">
        <v>45744</v>
      </c>
      <c r="B12" s="2" t="s">
        <v>79</v>
      </c>
      <c r="C12" s="2" t="s">
        <v>80</v>
      </c>
      <c r="D12" s="2" t="s">
        <v>648</v>
      </c>
      <c r="E12" s="2" t="s">
        <v>79</v>
      </c>
    </row>
    <row r="13" spans="1:7" x14ac:dyDescent="0.35">
      <c r="A13" s="6">
        <v>45745</v>
      </c>
      <c r="B13" s="2" t="s">
        <v>79</v>
      </c>
      <c r="C13" s="2" t="s">
        <v>82</v>
      </c>
      <c r="D13" s="2" t="s">
        <v>649</v>
      </c>
      <c r="E13" s="2" t="s">
        <v>82</v>
      </c>
    </row>
    <row r="14" spans="1:7" x14ac:dyDescent="0.35">
      <c r="A14" s="6">
        <v>45746</v>
      </c>
      <c r="B14" s="2" t="s">
        <v>83</v>
      </c>
      <c r="C14" s="2" t="s">
        <v>80</v>
      </c>
      <c r="D14" s="2" t="s">
        <v>651</v>
      </c>
      <c r="E14" s="2" t="s">
        <v>83</v>
      </c>
    </row>
    <row r="15" spans="1:7" x14ac:dyDescent="0.35">
      <c r="A15" s="6">
        <v>45747</v>
      </c>
      <c r="B15" s="2" t="s">
        <v>82</v>
      </c>
      <c r="C15" s="2" t="s">
        <v>79</v>
      </c>
      <c r="D15" s="2" t="s">
        <v>649</v>
      </c>
      <c r="E15" s="2" t="s">
        <v>82</v>
      </c>
    </row>
    <row r="16" spans="1:7" x14ac:dyDescent="0.35">
      <c r="A16" s="6">
        <v>45748</v>
      </c>
      <c r="B16" s="2" t="s">
        <v>81</v>
      </c>
      <c r="C16" s="2" t="s">
        <v>82</v>
      </c>
      <c r="D16" s="2" t="s">
        <v>651</v>
      </c>
      <c r="E16" s="2" t="s">
        <v>81</v>
      </c>
    </row>
    <row r="17" spans="1:5" x14ac:dyDescent="0.35">
      <c r="A17" s="6">
        <v>45749</v>
      </c>
      <c r="B17" s="2" t="s">
        <v>81</v>
      </c>
      <c r="C17" s="2" t="s">
        <v>80</v>
      </c>
      <c r="D17" s="2" t="s">
        <v>650</v>
      </c>
      <c r="E17" s="2" t="s">
        <v>80</v>
      </c>
    </row>
    <row r="18" spans="1:5" x14ac:dyDescent="0.35">
      <c r="A18" s="6">
        <v>45750</v>
      </c>
      <c r="B18" s="2" t="s">
        <v>79</v>
      </c>
      <c r="C18" s="2" t="s">
        <v>83</v>
      </c>
      <c r="D18" s="2" t="s">
        <v>650</v>
      </c>
      <c r="E18" s="2" t="s">
        <v>83</v>
      </c>
    </row>
    <row r="19" spans="1:5" x14ac:dyDescent="0.35">
      <c r="A19" s="6">
        <v>45751</v>
      </c>
      <c r="B19" s="2" t="s">
        <v>81</v>
      </c>
      <c r="C19" s="2" t="s">
        <v>82</v>
      </c>
      <c r="D19" s="2" t="s">
        <v>650</v>
      </c>
      <c r="E19" s="2" t="s">
        <v>81</v>
      </c>
    </row>
    <row r="20" spans="1:5" x14ac:dyDescent="0.35">
      <c r="A20" s="6">
        <v>45752</v>
      </c>
      <c r="B20" s="2" t="s">
        <v>79</v>
      </c>
      <c r="C20" s="2" t="s">
        <v>80</v>
      </c>
      <c r="D20" s="2" t="s">
        <v>650</v>
      </c>
      <c r="E20" s="2" t="s">
        <v>79</v>
      </c>
    </row>
    <row r="21" spans="1:5" x14ac:dyDescent="0.35">
      <c r="A21" s="6">
        <v>45753</v>
      </c>
      <c r="B21" s="2" t="s">
        <v>82</v>
      </c>
      <c r="C21" s="2" t="s">
        <v>83</v>
      </c>
      <c r="D21" s="2" t="s">
        <v>649</v>
      </c>
      <c r="E21" s="2" t="s">
        <v>83</v>
      </c>
    </row>
    <row r="22" spans="1:5" x14ac:dyDescent="0.35">
      <c r="A22" s="6">
        <v>45754</v>
      </c>
      <c r="B22" s="2" t="s">
        <v>79</v>
      </c>
      <c r="C22" s="2" t="s">
        <v>80</v>
      </c>
      <c r="D22" s="2" t="s">
        <v>651</v>
      </c>
      <c r="E22" s="2" t="s">
        <v>80</v>
      </c>
    </row>
    <row r="23" spans="1:5" x14ac:dyDescent="0.35">
      <c r="A23" s="6">
        <v>45755</v>
      </c>
      <c r="B23" s="2" t="s">
        <v>79</v>
      </c>
      <c r="C23" s="2" t="s">
        <v>81</v>
      </c>
      <c r="D23" s="2" t="s">
        <v>650</v>
      </c>
      <c r="E23" s="2" t="s">
        <v>81</v>
      </c>
    </row>
    <row r="24" spans="1:5" x14ac:dyDescent="0.35">
      <c r="A24" s="6">
        <v>45756</v>
      </c>
      <c r="B24" s="2" t="s">
        <v>82</v>
      </c>
      <c r="C24" s="2" t="s">
        <v>79</v>
      </c>
      <c r="D24" s="2" t="s">
        <v>652</v>
      </c>
      <c r="E24" s="2" t="s">
        <v>82</v>
      </c>
    </row>
    <row r="25" spans="1:5" x14ac:dyDescent="0.35">
      <c r="A25" s="6">
        <v>45757</v>
      </c>
      <c r="B25" s="2" t="s">
        <v>79</v>
      </c>
      <c r="C25" s="2" t="s">
        <v>83</v>
      </c>
      <c r="D25" s="2" t="s">
        <v>649</v>
      </c>
      <c r="E25" s="2" t="s">
        <v>79</v>
      </c>
    </row>
    <row r="26" spans="1:5" x14ac:dyDescent="0.35">
      <c r="A26" s="6">
        <v>45758</v>
      </c>
      <c r="B26" s="2" t="s">
        <v>82</v>
      </c>
      <c r="C26" s="2" t="s">
        <v>80</v>
      </c>
      <c r="D26" s="2" t="s">
        <v>649</v>
      </c>
      <c r="E26" s="2" t="s">
        <v>82</v>
      </c>
    </row>
    <row r="27" spans="1:5" x14ac:dyDescent="0.35">
      <c r="A27" s="6">
        <v>45759</v>
      </c>
      <c r="B27" s="2" t="s">
        <v>83</v>
      </c>
      <c r="C27" s="2" t="s">
        <v>80</v>
      </c>
      <c r="D27" s="2" t="s">
        <v>649</v>
      </c>
      <c r="E27" s="2" t="s">
        <v>83</v>
      </c>
    </row>
    <row r="28" spans="1:5" x14ac:dyDescent="0.35">
      <c r="A28" s="6">
        <v>45760</v>
      </c>
      <c r="B28" s="2" t="s">
        <v>82</v>
      </c>
      <c r="C28" s="2" t="s">
        <v>79</v>
      </c>
      <c r="D28" s="2" t="s">
        <v>649</v>
      </c>
      <c r="E28" s="2" t="s">
        <v>79</v>
      </c>
    </row>
    <row r="29" spans="1:5" x14ac:dyDescent="0.35">
      <c r="A29" s="6">
        <v>45761</v>
      </c>
      <c r="B29" s="2" t="s">
        <v>80</v>
      </c>
      <c r="C29" s="2" t="s">
        <v>79</v>
      </c>
      <c r="D29" s="2" t="s">
        <v>648</v>
      </c>
      <c r="E29" s="2" t="s">
        <v>79</v>
      </c>
    </row>
    <row r="30" spans="1:5" x14ac:dyDescent="0.35">
      <c r="A30" s="6">
        <v>45762</v>
      </c>
      <c r="B30" s="2" t="s">
        <v>81</v>
      </c>
      <c r="C30" s="2" t="s">
        <v>79</v>
      </c>
      <c r="D30" s="2" t="s">
        <v>652</v>
      </c>
      <c r="E30" s="2" t="s">
        <v>81</v>
      </c>
    </row>
    <row r="31" spans="1:5" x14ac:dyDescent="0.35">
      <c r="A31" s="6">
        <v>45763</v>
      </c>
      <c r="B31" s="2" t="s">
        <v>82</v>
      </c>
      <c r="C31" s="2" t="s">
        <v>79</v>
      </c>
      <c r="D31" s="2" t="s">
        <v>652</v>
      </c>
      <c r="E31" s="2" t="s">
        <v>82</v>
      </c>
    </row>
    <row r="32" spans="1:5" x14ac:dyDescent="0.35">
      <c r="A32" s="6">
        <v>45764</v>
      </c>
      <c r="B32" s="2" t="s">
        <v>80</v>
      </c>
      <c r="C32" s="2" t="s">
        <v>82</v>
      </c>
      <c r="D32" s="2" t="s">
        <v>650</v>
      </c>
      <c r="E32" s="2" t="s">
        <v>82</v>
      </c>
    </row>
    <row r="33" spans="1:6" x14ac:dyDescent="0.35">
      <c r="A33" s="6">
        <v>45765</v>
      </c>
      <c r="B33" s="2" t="s">
        <v>83</v>
      </c>
      <c r="C33" s="2" t="s">
        <v>81</v>
      </c>
      <c r="D33" s="2" t="s">
        <v>649</v>
      </c>
      <c r="E33" s="2" t="s">
        <v>81</v>
      </c>
    </row>
    <row r="34" spans="1:6" x14ac:dyDescent="0.35">
      <c r="A34" s="6">
        <v>45766</v>
      </c>
      <c r="B34" s="2" t="s">
        <v>79</v>
      </c>
      <c r="C34" s="2" t="s">
        <v>83</v>
      </c>
      <c r="D34" s="2" t="s">
        <v>652</v>
      </c>
      <c r="E34" s="2" t="s">
        <v>79</v>
      </c>
    </row>
    <row r="35" spans="1:6" x14ac:dyDescent="0.35">
      <c r="A35" s="6">
        <v>45767</v>
      </c>
      <c r="B35" s="2" t="s">
        <v>83</v>
      </c>
      <c r="C35" s="2" t="s">
        <v>80</v>
      </c>
      <c r="D35" s="2" t="s">
        <v>648</v>
      </c>
      <c r="E35" s="2" t="s">
        <v>83</v>
      </c>
    </row>
    <row r="36" spans="1:6" x14ac:dyDescent="0.35">
      <c r="A36" s="6">
        <v>45768</v>
      </c>
      <c r="B36" s="2" t="s">
        <v>81</v>
      </c>
      <c r="C36" s="2" t="s">
        <v>83</v>
      </c>
      <c r="D36" s="2" t="s">
        <v>652</v>
      </c>
      <c r="E36" s="2" t="s">
        <v>83</v>
      </c>
    </row>
    <row r="37" spans="1:6" x14ac:dyDescent="0.35">
      <c r="A37" s="6">
        <v>45769</v>
      </c>
      <c r="B37" s="2" t="s">
        <v>83</v>
      </c>
      <c r="C37" s="2" t="s">
        <v>82</v>
      </c>
      <c r="D37" s="2" t="s">
        <v>649</v>
      </c>
      <c r="E37" s="2" t="s">
        <v>83</v>
      </c>
    </row>
    <row r="38" spans="1:6" x14ac:dyDescent="0.35">
      <c r="A38" s="6">
        <v>45770</v>
      </c>
      <c r="B38" s="2" t="s">
        <v>80</v>
      </c>
      <c r="C38" s="2" t="s">
        <v>83</v>
      </c>
      <c r="D38" s="2" t="s">
        <v>652</v>
      </c>
      <c r="E38" s="2" t="s">
        <v>83</v>
      </c>
    </row>
    <row r="39" spans="1:6" x14ac:dyDescent="0.35">
      <c r="A39" s="6">
        <v>45771</v>
      </c>
      <c r="B39" s="2" t="s">
        <v>83</v>
      </c>
      <c r="C39" s="2" t="s">
        <v>80</v>
      </c>
      <c r="D39" s="2" t="s">
        <v>652</v>
      </c>
      <c r="E39" s="2" t="s">
        <v>83</v>
      </c>
    </row>
    <row r="40" spans="1:6" x14ac:dyDescent="0.35">
      <c r="A40" s="6">
        <v>45772</v>
      </c>
      <c r="B40" s="2" t="s">
        <v>83</v>
      </c>
      <c r="C40" s="2" t="s">
        <v>80</v>
      </c>
      <c r="D40" s="2" t="s">
        <v>649</v>
      </c>
      <c r="E40" s="2" t="s">
        <v>80</v>
      </c>
    </row>
    <row r="41" spans="1:6" x14ac:dyDescent="0.35">
      <c r="A41" s="6">
        <v>45773</v>
      </c>
      <c r="B41" s="2" t="s">
        <v>83</v>
      </c>
      <c r="C41" s="2" t="s">
        <v>79</v>
      </c>
      <c r="D41" s="2" t="s">
        <v>650</v>
      </c>
      <c r="E41" s="2" t="s">
        <v>79</v>
      </c>
    </row>
    <row r="42" spans="1:6" x14ac:dyDescent="0.35">
      <c r="A42" s="6">
        <v>45774</v>
      </c>
      <c r="B42" s="2" t="s">
        <v>79</v>
      </c>
      <c r="C42" s="2" t="s">
        <v>83</v>
      </c>
      <c r="D42" s="2" t="s">
        <v>648</v>
      </c>
      <c r="E42" s="2" t="s">
        <v>79</v>
      </c>
    </row>
    <row r="43" spans="1:6" x14ac:dyDescent="0.35">
      <c r="A43" s="6">
        <v>45775</v>
      </c>
      <c r="B43" s="2" t="s">
        <v>81</v>
      </c>
      <c r="C43" s="2" t="s">
        <v>80</v>
      </c>
      <c r="D43" s="2" t="s">
        <v>651</v>
      </c>
      <c r="E43" s="2" t="s">
        <v>80</v>
      </c>
    </row>
    <row r="44" spans="1:6" x14ac:dyDescent="0.35">
      <c r="A44" s="6">
        <v>45776</v>
      </c>
      <c r="B44" s="2" t="s">
        <v>82</v>
      </c>
      <c r="C44" s="2" t="s">
        <v>83</v>
      </c>
      <c r="D44" s="2" t="s">
        <v>648</v>
      </c>
      <c r="E44" s="2" t="s">
        <v>83</v>
      </c>
    </row>
    <row r="45" spans="1:6" x14ac:dyDescent="0.35">
      <c r="A45" s="6">
        <v>45777</v>
      </c>
      <c r="B45" s="2" t="s">
        <v>80</v>
      </c>
      <c r="C45" s="2" t="s">
        <v>79</v>
      </c>
      <c r="D45" s="2" t="s">
        <v>652</v>
      </c>
      <c r="E45" s="2" t="s">
        <v>80</v>
      </c>
    </row>
    <row r="48" spans="1:6" x14ac:dyDescent="0.35">
      <c r="A48" s="24" t="s">
        <v>653</v>
      </c>
      <c r="B48" s="24"/>
      <c r="C48" s="24"/>
      <c r="D48" s="24"/>
      <c r="E48" s="24"/>
      <c r="F48" s="24"/>
    </row>
    <row r="49" spans="1:3" x14ac:dyDescent="0.35">
      <c r="A49" s="1" t="s">
        <v>76</v>
      </c>
      <c r="B49" s="1" t="s">
        <v>654</v>
      </c>
      <c r="C49" s="1" t="s">
        <v>655</v>
      </c>
    </row>
    <row r="50" spans="1:3" x14ac:dyDescent="0.35">
      <c r="A50" s="4" t="s">
        <v>79</v>
      </c>
      <c r="B50" s="4">
        <f>COUNTIF($B$6:$B$46,A50)+COUNTIF($C$6:$C$46,A50)</f>
        <v>19</v>
      </c>
      <c r="C50" s="4">
        <f>COUNTIF($E$6:$E$46,A50)</f>
        <v>8</v>
      </c>
    </row>
    <row r="51" spans="1:3" x14ac:dyDescent="0.35">
      <c r="A51" s="4" t="s">
        <v>80</v>
      </c>
      <c r="B51" s="4">
        <f>COUNTIF($B$6:$B$46,A51)+COUNTIF($C$6:$C$46,A51)</f>
        <v>19</v>
      </c>
      <c r="C51" s="4">
        <f>COUNTIF($E$6:$E$46,A51)</f>
        <v>6</v>
      </c>
    </row>
    <row r="52" spans="1:3" x14ac:dyDescent="0.35">
      <c r="A52" s="4" t="s">
        <v>81</v>
      </c>
      <c r="B52" s="4">
        <f>COUNTIF($B$6:$B$46,A52)+COUNTIF($C$6:$C$46,A52)</f>
        <v>9</v>
      </c>
      <c r="C52" s="4">
        <f>COUNTIF($E$6:$E$46,A52)</f>
        <v>6</v>
      </c>
    </row>
    <row r="53" spans="1:3" x14ac:dyDescent="0.35">
      <c r="A53" s="4" t="s">
        <v>82</v>
      </c>
      <c r="B53" s="4">
        <f>COUNTIF($B$6:$B$46,A53)+COUNTIF($C$6:$C$46,A53)</f>
        <v>15</v>
      </c>
      <c r="C53" s="4">
        <f>COUNTIF($E$6:$E$46,A53)</f>
        <v>8</v>
      </c>
    </row>
    <row r="54" spans="1:3" x14ac:dyDescent="0.35">
      <c r="A54" s="4" t="s">
        <v>83</v>
      </c>
      <c r="B54" s="4">
        <f>COUNTIF($B$6:$B$46,A54)+COUNTIF($C$6:$C$46,A54)</f>
        <v>18</v>
      </c>
      <c r="C54" s="4">
        <f>COUNTIF($E$6:$E$46,A54)</f>
        <v>12</v>
      </c>
    </row>
    <row r="71" spans="1:6" x14ac:dyDescent="0.35">
      <c r="A71" s="24" t="s">
        <v>656</v>
      </c>
      <c r="B71" s="24"/>
      <c r="C71" s="24"/>
      <c r="D71" s="24"/>
      <c r="E71" s="24"/>
      <c r="F71" s="24"/>
    </row>
    <row r="72" spans="1:6" x14ac:dyDescent="0.35">
      <c r="A72" s="1" t="s">
        <v>76</v>
      </c>
      <c r="B72" s="1" t="s">
        <v>657</v>
      </c>
      <c r="C72" s="1" t="s">
        <v>658</v>
      </c>
      <c r="D72" s="1" t="s">
        <v>659</v>
      </c>
    </row>
    <row r="73" spans="1:6" x14ac:dyDescent="0.35">
      <c r="A73" s="4" t="s">
        <v>79</v>
      </c>
      <c r="B73" s="4">
        <v>11</v>
      </c>
      <c r="C73" s="4">
        <v>12</v>
      </c>
      <c r="D73" s="4">
        <v>14</v>
      </c>
    </row>
    <row r="74" spans="1:6" x14ac:dyDescent="0.35">
      <c r="A74" s="4" t="s">
        <v>80</v>
      </c>
      <c r="B74" s="4">
        <v>13</v>
      </c>
      <c r="C74" s="4">
        <v>13</v>
      </c>
      <c r="D74" s="4">
        <v>5</v>
      </c>
    </row>
    <row r="75" spans="1:6" x14ac:dyDescent="0.35">
      <c r="A75" s="4" t="s">
        <v>81</v>
      </c>
      <c r="B75" s="4">
        <v>8</v>
      </c>
      <c r="C75" s="4">
        <v>7</v>
      </c>
      <c r="D75" s="4">
        <v>7</v>
      </c>
    </row>
    <row r="76" spans="1:6" x14ac:dyDescent="0.35">
      <c r="A76" s="4" t="s">
        <v>82</v>
      </c>
      <c r="B76" s="4">
        <v>4</v>
      </c>
      <c r="C76" s="4">
        <v>5</v>
      </c>
      <c r="D76" s="4">
        <v>8</v>
      </c>
    </row>
    <row r="77" spans="1:6" x14ac:dyDescent="0.35">
      <c r="A77" s="4" t="s">
        <v>83</v>
      </c>
      <c r="B77" s="4">
        <v>10</v>
      </c>
      <c r="C77" s="4">
        <v>11</v>
      </c>
      <c r="D77" s="4">
        <v>7</v>
      </c>
    </row>
    <row r="79" spans="1:6" ht="27.75" customHeight="1" x14ac:dyDescent="0.35">
      <c r="A79" s="25" t="s">
        <v>660</v>
      </c>
      <c r="B79" s="25"/>
      <c r="C79" s="25"/>
      <c r="D79" s="25"/>
      <c r="E79" s="25"/>
      <c r="F79" s="25"/>
    </row>
    <row r="81" spans="1:7" ht="27.75" customHeight="1" x14ac:dyDescent="0.35">
      <c r="A81" s="25" t="s">
        <v>661</v>
      </c>
      <c r="B81" s="25"/>
      <c r="C81" s="25"/>
      <c r="D81" s="25"/>
      <c r="E81" s="25"/>
      <c r="F81" s="25"/>
      <c r="G81" s="25"/>
    </row>
  </sheetData>
  <mergeCells count="6">
    <mergeCell ref="A81:G81"/>
    <mergeCell ref="A1:F1"/>
    <mergeCell ref="A2:G2"/>
    <mergeCell ref="A48:F48"/>
    <mergeCell ref="A71:F71"/>
    <mergeCell ref="A79:F79"/>
  </mergeCells>
  <conditionalFormatting sqref="B73:B77">
    <cfRule type="expression" dxfId="3" priority="2">
      <formula>B73=MAX($B$73:$B$77)</formula>
    </cfRule>
  </conditionalFormatting>
  <conditionalFormatting sqref="C73:C77">
    <cfRule type="expression" dxfId="2" priority="3">
      <formula>C73=MAX($C$73:$C$77)</formula>
    </cfRule>
  </conditionalFormatting>
  <conditionalFormatting sqref="D73:D77">
    <cfRule type="expression" dxfId="1" priority="4">
      <formula>D73=MAX($D$73:$D$77)</formula>
    </cfRule>
  </conditionalFormatting>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showGridLines="0" zoomScaleNormal="100" workbookViewId="0">
      <selection sqref="A1:F1"/>
    </sheetView>
  </sheetViews>
  <sheetFormatPr defaultColWidth="8.6328125" defaultRowHeight="14.5" x14ac:dyDescent="0.35"/>
  <cols>
    <col min="1" max="1" width="18" customWidth="1"/>
    <col min="2" max="2" width="20" customWidth="1"/>
    <col min="3" max="4" width="14" customWidth="1"/>
  </cols>
  <sheetData>
    <row r="1" spans="1:7" ht="18" x14ac:dyDescent="0.4">
      <c r="A1" s="26" t="s">
        <v>662</v>
      </c>
      <c r="B1" s="26"/>
      <c r="C1" s="26"/>
      <c r="D1" s="26"/>
      <c r="E1" s="26"/>
      <c r="F1" s="26"/>
    </row>
    <row r="2" spans="1:7" ht="27.75" customHeight="1" x14ac:dyDescent="0.35">
      <c r="A2" s="25" t="s">
        <v>663</v>
      </c>
      <c r="B2" s="25"/>
      <c r="C2" s="25"/>
      <c r="D2" s="25"/>
      <c r="E2" s="25"/>
      <c r="F2" s="25"/>
      <c r="G2" s="25"/>
    </row>
    <row r="4" spans="1:7" x14ac:dyDescent="0.35">
      <c r="A4" s="1" t="s">
        <v>664</v>
      </c>
      <c r="B4" s="1" t="s">
        <v>444</v>
      </c>
      <c r="C4" s="1" t="s">
        <v>665</v>
      </c>
      <c r="D4" s="1" t="s">
        <v>666</v>
      </c>
    </row>
    <row r="5" spans="1:7" x14ac:dyDescent="0.35">
      <c r="A5" s="2" t="s">
        <v>667</v>
      </c>
      <c r="B5" s="2" t="s">
        <v>668</v>
      </c>
      <c r="C5" s="2">
        <v>2023</v>
      </c>
      <c r="D5" s="2">
        <v>8.4</v>
      </c>
    </row>
    <row r="6" spans="1:7" x14ac:dyDescent="0.35">
      <c r="A6" s="2" t="s">
        <v>669</v>
      </c>
      <c r="B6" s="2" t="s">
        <v>670</v>
      </c>
      <c r="C6" s="2">
        <v>2023</v>
      </c>
      <c r="D6" s="2"/>
    </row>
    <row r="7" spans="1:7" x14ac:dyDescent="0.35">
      <c r="A7" s="2" t="s">
        <v>671</v>
      </c>
      <c r="B7" s="2" t="s">
        <v>672</v>
      </c>
      <c r="C7" s="2">
        <v>2024</v>
      </c>
      <c r="D7" s="2">
        <v>8.6</v>
      </c>
    </row>
    <row r="8" spans="1:7" x14ac:dyDescent="0.35">
      <c r="A8" s="2" t="s">
        <v>673</v>
      </c>
      <c r="B8" s="2" t="s">
        <v>674</v>
      </c>
      <c r="C8" s="2"/>
      <c r="D8" s="2">
        <v>7.9</v>
      </c>
    </row>
    <row r="9" spans="1:7" x14ac:dyDescent="0.35">
      <c r="A9" s="2" t="s">
        <v>102</v>
      </c>
      <c r="B9" s="2" t="s">
        <v>675</v>
      </c>
      <c r="C9" s="2">
        <v>2023</v>
      </c>
      <c r="D9" s="2">
        <v>6.2</v>
      </c>
    </row>
    <row r="10" spans="1:7" x14ac:dyDescent="0.35">
      <c r="A10" s="2" t="s">
        <v>205</v>
      </c>
      <c r="B10" s="2" t="s">
        <v>676</v>
      </c>
      <c r="C10" s="2">
        <v>2023</v>
      </c>
      <c r="D10" s="2"/>
    </row>
    <row r="11" spans="1:7" x14ac:dyDescent="0.35">
      <c r="A11" s="2" t="s">
        <v>101</v>
      </c>
      <c r="B11" s="2" t="s">
        <v>677</v>
      </c>
      <c r="C11" s="2">
        <v>2023</v>
      </c>
      <c r="D11" s="2">
        <v>7</v>
      </c>
    </row>
    <row r="12" spans="1:7" x14ac:dyDescent="0.35">
      <c r="A12" s="2" t="s">
        <v>103</v>
      </c>
      <c r="B12" s="2" t="s">
        <v>678</v>
      </c>
      <c r="C12" s="2">
        <v>2024</v>
      </c>
      <c r="D12" s="2">
        <v>6.5</v>
      </c>
    </row>
    <row r="15" spans="1:7" ht="27.75" customHeight="1" x14ac:dyDescent="0.35">
      <c r="A15" s="25" t="s">
        <v>679</v>
      </c>
      <c r="B15" s="25"/>
      <c r="C15" s="25"/>
      <c r="D15" s="25"/>
      <c r="E15" s="25"/>
      <c r="F15" s="25"/>
    </row>
    <row r="16" spans="1:7" x14ac:dyDescent="0.35">
      <c r="A16" s="4" t="s">
        <v>680</v>
      </c>
    </row>
    <row r="17" spans="1:6" x14ac:dyDescent="0.35">
      <c r="A17" s="4" t="s">
        <v>681</v>
      </c>
    </row>
    <row r="18" spans="1:6" x14ac:dyDescent="0.35">
      <c r="A18" s="4" t="s">
        <v>682</v>
      </c>
    </row>
    <row r="19" spans="1:6" x14ac:dyDescent="0.35">
      <c r="A19" s="4" t="s">
        <v>683</v>
      </c>
    </row>
    <row r="20" spans="1:6" x14ac:dyDescent="0.35">
      <c r="A20" s="4" t="s">
        <v>684</v>
      </c>
    </row>
    <row r="22" spans="1:6" x14ac:dyDescent="0.35">
      <c r="A22" s="24" t="s">
        <v>685</v>
      </c>
      <c r="B22" s="24"/>
      <c r="C22" s="24"/>
      <c r="D22" s="24"/>
      <c r="E22" s="24"/>
      <c r="F22" s="24"/>
    </row>
    <row r="23" spans="1:6" x14ac:dyDescent="0.35">
      <c r="A23" s="1" t="s">
        <v>664</v>
      </c>
      <c r="B23" s="1" t="s">
        <v>686</v>
      </c>
      <c r="C23" s="1" t="s">
        <v>665</v>
      </c>
      <c r="D23" s="1" t="s">
        <v>666</v>
      </c>
    </row>
    <row r="24" spans="1:6" x14ac:dyDescent="0.35">
      <c r="A24" s="2" t="s">
        <v>667</v>
      </c>
      <c r="B24" s="2" t="s">
        <v>687</v>
      </c>
      <c r="C24" s="2">
        <v>2023</v>
      </c>
      <c r="D24" s="2">
        <v>8.4</v>
      </c>
    </row>
    <row r="25" spans="1:6" x14ac:dyDescent="0.35">
      <c r="A25" s="2" t="s">
        <v>671</v>
      </c>
      <c r="B25" s="2" t="s">
        <v>688</v>
      </c>
      <c r="C25" s="2">
        <v>2024</v>
      </c>
      <c r="D25" s="2">
        <v>8.6</v>
      </c>
    </row>
    <row r="26" spans="1:6" x14ac:dyDescent="0.35">
      <c r="A26" s="2" t="s">
        <v>673</v>
      </c>
      <c r="B26" s="2" t="s">
        <v>689</v>
      </c>
      <c r="C26" s="2"/>
      <c r="D26" s="2">
        <v>7.9</v>
      </c>
    </row>
    <row r="27" spans="1:6" x14ac:dyDescent="0.35">
      <c r="A27" s="2" t="s">
        <v>102</v>
      </c>
      <c r="B27" s="2" t="s">
        <v>688</v>
      </c>
      <c r="C27" s="2">
        <v>2023</v>
      </c>
      <c r="D27" s="2">
        <v>6.2</v>
      </c>
    </row>
    <row r="28" spans="1:6" x14ac:dyDescent="0.35">
      <c r="A28" s="2" t="s">
        <v>101</v>
      </c>
      <c r="B28" s="2" t="s">
        <v>688</v>
      </c>
      <c r="C28" s="2">
        <v>2023</v>
      </c>
      <c r="D28" s="2">
        <v>7</v>
      </c>
    </row>
    <row r="29" spans="1:6" x14ac:dyDescent="0.35">
      <c r="A29" s="2" t="s">
        <v>103</v>
      </c>
      <c r="B29" s="2" t="s">
        <v>690</v>
      </c>
      <c r="C29" s="2">
        <v>2024</v>
      </c>
      <c r="D29" s="2">
        <v>6.5</v>
      </c>
    </row>
  </sheetData>
  <mergeCells count="4">
    <mergeCell ref="A1:F1"/>
    <mergeCell ref="A2:G2"/>
    <mergeCell ref="A15:F15"/>
    <mergeCell ref="A22:F22"/>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showGridLines="0" zoomScaleNormal="100" workbookViewId="0">
      <selection sqref="A1:F1"/>
    </sheetView>
  </sheetViews>
  <sheetFormatPr defaultColWidth="8.6328125" defaultRowHeight="14.5" x14ac:dyDescent="0.35"/>
  <cols>
    <col min="1" max="1" width="16" customWidth="1"/>
    <col min="2" max="2" width="18" customWidth="1"/>
    <col min="3" max="3" width="16" customWidth="1"/>
    <col min="4" max="4" width="14" customWidth="1"/>
    <col min="5" max="5" width="12" customWidth="1"/>
  </cols>
  <sheetData>
    <row r="1" spans="1:6" ht="18" x14ac:dyDescent="0.4">
      <c r="A1" s="26" t="s">
        <v>691</v>
      </c>
      <c r="B1" s="26"/>
      <c r="C1" s="26"/>
      <c r="D1" s="26"/>
      <c r="E1" s="26"/>
      <c r="F1" s="26"/>
    </row>
    <row r="3" spans="1:6" x14ac:dyDescent="0.35">
      <c r="A3" s="24" t="s">
        <v>692</v>
      </c>
      <c r="B3" s="24"/>
      <c r="C3" s="24"/>
      <c r="D3" s="24"/>
      <c r="E3" s="24"/>
      <c r="F3" s="24"/>
    </row>
    <row r="4" spans="1:6" x14ac:dyDescent="0.35">
      <c r="A4" s="1" t="s">
        <v>693</v>
      </c>
      <c r="B4" s="1" t="s">
        <v>694</v>
      </c>
      <c r="C4" s="1" t="s">
        <v>133</v>
      </c>
    </row>
    <row r="5" spans="1:6" x14ac:dyDescent="0.35">
      <c r="A5" s="2">
        <v>1</v>
      </c>
      <c r="B5" s="2" t="s">
        <v>72</v>
      </c>
      <c r="C5" s="2" t="s">
        <v>139</v>
      </c>
    </row>
    <row r="6" spans="1:6" x14ac:dyDescent="0.35">
      <c r="A6" s="2">
        <v>2</v>
      </c>
      <c r="B6" s="2" t="s">
        <v>135</v>
      </c>
      <c r="C6" s="2" t="s">
        <v>138</v>
      </c>
    </row>
    <row r="7" spans="1:6" x14ac:dyDescent="0.35">
      <c r="A7" s="2">
        <v>3</v>
      </c>
      <c r="B7" s="2" t="s">
        <v>137</v>
      </c>
      <c r="C7" s="2" t="s">
        <v>136</v>
      </c>
    </row>
    <row r="10" spans="1:6" x14ac:dyDescent="0.35">
      <c r="A10" s="1" t="s">
        <v>695</v>
      </c>
      <c r="B10" s="1" t="s">
        <v>693</v>
      </c>
      <c r="C10" s="1" t="s">
        <v>696</v>
      </c>
    </row>
    <row r="11" spans="1:6" x14ac:dyDescent="0.35">
      <c r="A11" s="2">
        <v>101</v>
      </c>
      <c r="B11" s="2">
        <v>1</v>
      </c>
      <c r="C11" s="2">
        <v>450</v>
      </c>
    </row>
    <row r="12" spans="1:6" x14ac:dyDescent="0.35">
      <c r="A12" s="2">
        <v>102</v>
      </c>
      <c r="B12" s="2">
        <v>2</v>
      </c>
      <c r="C12" s="2">
        <v>620</v>
      </c>
    </row>
    <row r="13" spans="1:6" x14ac:dyDescent="0.35">
      <c r="A13" s="2">
        <v>103</v>
      </c>
      <c r="B13" s="2">
        <v>1</v>
      </c>
      <c r="C13" s="2">
        <v>380</v>
      </c>
    </row>
    <row r="14" spans="1:6" x14ac:dyDescent="0.35">
      <c r="A14" s="2">
        <v>104</v>
      </c>
      <c r="B14" s="2">
        <v>3</v>
      </c>
      <c r="C14" s="2">
        <v>710</v>
      </c>
    </row>
    <row r="17" spans="1:6" x14ac:dyDescent="0.35">
      <c r="A17" s="24" t="s">
        <v>697</v>
      </c>
      <c r="B17" s="24"/>
      <c r="C17" s="24"/>
      <c r="D17" s="24"/>
      <c r="E17" s="24"/>
      <c r="F17" s="24"/>
    </row>
    <row r="18" spans="1:6" ht="28" x14ac:dyDescent="0.35">
      <c r="A18" s="1" t="s">
        <v>695</v>
      </c>
      <c r="B18" s="1" t="s">
        <v>693</v>
      </c>
      <c r="C18" s="1" t="s">
        <v>132</v>
      </c>
      <c r="D18" s="1" t="s">
        <v>696</v>
      </c>
    </row>
    <row r="19" spans="1:6" x14ac:dyDescent="0.35">
      <c r="A19" s="2">
        <v>101</v>
      </c>
      <c r="B19" s="2">
        <v>1</v>
      </c>
      <c r="C19" s="2" t="s">
        <v>72</v>
      </c>
      <c r="D19" s="2">
        <v>450</v>
      </c>
    </row>
    <row r="20" spans="1:6" x14ac:dyDescent="0.35">
      <c r="A20" s="2">
        <v>102</v>
      </c>
      <c r="B20" s="2">
        <v>2</v>
      </c>
      <c r="C20" s="2" t="s">
        <v>135</v>
      </c>
      <c r="D20" s="2">
        <v>620</v>
      </c>
    </row>
    <row r="21" spans="1:6" x14ac:dyDescent="0.35">
      <c r="A21" s="2">
        <v>103</v>
      </c>
      <c r="B21" s="2">
        <v>1</v>
      </c>
      <c r="C21" s="2" t="s">
        <v>72</v>
      </c>
      <c r="D21" s="2">
        <v>380</v>
      </c>
    </row>
    <row r="22" spans="1:6" x14ac:dyDescent="0.35">
      <c r="A22" s="2">
        <v>104</v>
      </c>
      <c r="B22" s="2">
        <v>3</v>
      </c>
      <c r="C22" s="2" t="s">
        <v>137</v>
      </c>
      <c r="D22" s="2">
        <v>710</v>
      </c>
    </row>
    <row r="24" spans="1:6" x14ac:dyDescent="0.35">
      <c r="A24" s="24" t="s">
        <v>698</v>
      </c>
      <c r="B24" s="24"/>
      <c r="C24" s="24"/>
      <c r="D24" s="24"/>
      <c r="E24" s="24"/>
      <c r="F24" s="24"/>
    </row>
    <row r="25" spans="1:6" x14ac:dyDescent="0.35">
      <c r="A25" s="1" t="s">
        <v>695</v>
      </c>
      <c r="B25" s="1" t="s">
        <v>699</v>
      </c>
      <c r="C25" s="1" t="s">
        <v>124</v>
      </c>
      <c r="D25" s="1" t="s">
        <v>700</v>
      </c>
    </row>
    <row r="26" spans="1:6" x14ac:dyDescent="0.35">
      <c r="A26" s="2">
        <v>1</v>
      </c>
      <c r="B26" s="2" t="s">
        <v>701</v>
      </c>
      <c r="C26" s="2">
        <v>300</v>
      </c>
      <c r="D26" s="3">
        <v>46178</v>
      </c>
    </row>
    <row r="27" spans="1:6" x14ac:dyDescent="0.35">
      <c r="A27" s="2">
        <v>2</v>
      </c>
      <c r="B27" s="2" t="s">
        <v>702</v>
      </c>
      <c r="C27" s="2">
        <v>450</v>
      </c>
      <c r="D27" s="3">
        <v>46185</v>
      </c>
    </row>
    <row r="29" spans="1:6" x14ac:dyDescent="0.35">
      <c r="A29" s="1" t="s">
        <v>695</v>
      </c>
      <c r="B29" s="1" t="s">
        <v>699</v>
      </c>
      <c r="C29" s="1" t="s">
        <v>124</v>
      </c>
      <c r="D29" s="1" t="s">
        <v>700</v>
      </c>
    </row>
    <row r="30" spans="1:6" x14ac:dyDescent="0.35">
      <c r="A30" s="2">
        <v>3</v>
      </c>
      <c r="B30" s="2" t="s">
        <v>701</v>
      </c>
      <c r="C30" s="2">
        <v>520</v>
      </c>
      <c r="D30" s="3">
        <v>46206</v>
      </c>
    </row>
    <row r="31" spans="1:6" x14ac:dyDescent="0.35">
      <c r="A31" s="2">
        <v>4</v>
      </c>
      <c r="B31" s="2" t="s">
        <v>703</v>
      </c>
      <c r="C31" s="2">
        <v>610</v>
      </c>
      <c r="D31" s="3">
        <v>46212</v>
      </c>
    </row>
    <row r="32" spans="1:6" x14ac:dyDescent="0.35">
      <c r="A32" s="24" t="s">
        <v>704</v>
      </c>
      <c r="B32" s="24"/>
      <c r="C32" s="24"/>
      <c r="D32" s="24"/>
      <c r="E32" s="24"/>
      <c r="F32" s="24"/>
    </row>
    <row r="33" spans="1:6" x14ac:dyDescent="0.35">
      <c r="A33" s="1" t="s">
        <v>695</v>
      </c>
      <c r="B33" s="1" t="s">
        <v>699</v>
      </c>
      <c r="C33" s="1" t="s">
        <v>124</v>
      </c>
      <c r="D33" s="1" t="s">
        <v>700</v>
      </c>
    </row>
    <row r="34" spans="1:6" x14ac:dyDescent="0.35">
      <c r="A34" s="2">
        <v>1</v>
      </c>
      <c r="B34" s="2" t="s">
        <v>701</v>
      </c>
      <c r="C34" s="2">
        <v>300</v>
      </c>
      <c r="D34" s="3">
        <v>46178</v>
      </c>
    </row>
    <row r="35" spans="1:6" x14ac:dyDescent="0.35">
      <c r="A35" s="2">
        <v>2</v>
      </c>
      <c r="B35" s="2" t="s">
        <v>702</v>
      </c>
      <c r="C35" s="2">
        <v>450</v>
      </c>
      <c r="D35" s="3">
        <v>46185</v>
      </c>
    </row>
    <row r="36" spans="1:6" x14ac:dyDescent="0.35">
      <c r="A36" s="2">
        <v>3</v>
      </c>
      <c r="B36" s="2" t="s">
        <v>701</v>
      </c>
      <c r="C36" s="2">
        <v>520</v>
      </c>
      <c r="D36" s="3">
        <v>46206</v>
      </c>
    </row>
    <row r="37" spans="1:6" x14ac:dyDescent="0.35">
      <c r="A37" s="2">
        <v>4</v>
      </c>
      <c r="B37" s="2" t="s">
        <v>703</v>
      </c>
      <c r="C37" s="2">
        <v>610</v>
      </c>
      <c r="D37" s="3">
        <v>46212</v>
      </c>
    </row>
    <row r="39" spans="1:6" x14ac:dyDescent="0.35">
      <c r="A39" s="24" t="s">
        <v>705</v>
      </c>
      <c r="B39" s="24"/>
      <c r="C39" s="24"/>
      <c r="D39" s="24"/>
      <c r="E39" s="24"/>
      <c r="F39" s="24"/>
    </row>
    <row r="40" spans="1:6" x14ac:dyDescent="0.35">
      <c r="A40" s="1" t="s">
        <v>706</v>
      </c>
      <c r="B40" s="1" t="s">
        <v>694</v>
      </c>
      <c r="C40" s="1" t="s">
        <v>415</v>
      </c>
      <c r="D40" s="1" t="s">
        <v>36</v>
      </c>
    </row>
    <row r="41" spans="1:6" x14ac:dyDescent="0.35">
      <c r="A41" s="2">
        <v>1</v>
      </c>
      <c r="B41" s="2" t="s">
        <v>707</v>
      </c>
      <c r="C41" s="2" t="s">
        <v>420</v>
      </c>
      <c r="D41" s="2">
        <v>899</v>
      </c>
    </row>
    <row r="42" spans="1:6" x14ac:dyDescent="0.35">
      <c r="A42" s="2">
        <v>2</v>
      </c>
      <c r="B42" s="2" t="s">
        <v>708</v>
      </c>
      <c r="C42" s="2" t="s">
        <v>417</v>
      </c>
      <c r="D42" s="2">
        <v>2999</v>
      </c>
    </row>
    <row r="44" spans="1:6" x14ac:dyDescent="0.35">
      <c r="A44" s="1" t="s">
        <v>706</v>
      </c>
      <c r="B44" s="1" t="s">
        <v>694</v>
      </c>
      <c r="C44" s="1" t="s">
        <v>415</v>
      </c>
      <c r="D44" s="1" t="s">
        <v>36</v>
      </c>
      <c r="E44" s="1" t="s">
        <v>406</v>
      </c>
    </row>
    <row r="45" spans="1:6" x14ac:dyDescent="0.35">
      <c r="A45" s="2">
        <v>3</v>
      </c>
      <c r="B45" s="2" t="s">
        <v>709</v>
      </c>
      <c r="C45" s="2" t="s">
        <v>710</v>
      </c>
      <c r="D45" s="2">
        <v>799</v>
      </c>
      <c r="E45" s="2">
        <v>0.1</v>
      </c>
    </row>
    <row r="46" spans="1:6" x14ac:dyDescent="0.35">
      <c r="A46" s="2">
        <v>4</v>
      </c>
      <c r="B46" s="2" t="s">
        <v>711</v>
      </c>
      <c r="C46" s="2" t="s">
        <v>712</v>
      </c>
      <c r="D46" s="2">
        <v>2499</v>
      </c>
      <c r="E46" s="2">
        <v>0.15</v>
      </c>
    </row>
    <row r="47" spans="1:6" x14ac:dyDescent="0.35">
      <c r="A47" s="24" t="s">
        <v>713</v>
      </c>
      <c r="B47" s="24"/>
      <c r="C47" s="24"/>
      <c r="D47" s="24"/>
      <c r="E47" s="24"/>
      <c r="F47" s="24"/>
    </row>
    <row r="48" spans="1:6" x14ac:dyDescent="0.35">
      <c r="A48" s="1" t="s">
        <v>706</v>
      </c>
      <c r="B48" s="1" t="s">
        <v>694</v>
      </c>
      <c r="C48" s="1" t="s">
        <v>415</v>
      </c>
      <c r="D48" s="1" t="s">
        <v>36</v>
      </c>
      <c r="E48" s="1" t="s">
        <v>406</v>
      </c>
    </row>
    <row r="49" spans="1:6" x14ac:dyDescent="0.35">
      <c r="A49" s="2">
        <v>1</v>
      </c>
      <c r="B49" s="2" t="s">
        <v>707</v>
      </c>
      <c r="C49" s="2" t="s">
        <v>420</v>
      </c>
      <c r="D49" s="2">
        <v>899</v>
      </c>
      <c r="E49" s="2"/>
    </row>
    <row r="50" spans="1:6" x14ac:dyDescent="0.35">
      <c r="A50" s="2">
        <v>2</v>
      </c>
      <c r="B50" s="2" t="s">
        <v>708</v>
      </c>
      <c r="C50" s="2" t="s">
        <v>417</v>
      </c>
      <c r="D50" s="2">
        <v>2999</v>
      </c>
      <c r="E50" s="2"/>
    </row>
    <row r="51" spans="1:6" x14ac:dyDescent="0.35">
      <c r="A51" s="2">
        <v>3</v>
      </c>
      <c r="B51" s="2" t="s">
        <v>709</v>
      </c>
      <c r="C51" s="2" t="s">
        <v>710</v>
      </c>
      <c r="D51" s="2">
        <v>799</v>
      </c>
      <c r="E51" s="2">
        <v>0.1</v>
      </c>
    </row>
    <row r="52" spans="1:6" x14ac:dyDescent="0.35">
      <c r="A52" s="2">
        <v>4</v>
      </c>
      <c r="B52" s="2" t="s">
        <v>711</v>
      </c>
      <c r="C52" s="2" t="s">
        <v>712</v>
      </c>
      <c r="D52" s="2">
        <v>2499</v>
      </c>
      <c r="E52" s="2">
        <v>0.15</v>
      </c>
    </row>
    <row r="54" spans="1:6" x14ac:dyDescent="0.35">
      <c r="A54" s="24" t="s">
        <v>714</v>
      </c>
      <c r="B54" s="24"/>
      <c r="C54" s="24"/>
      <c r="D54" s="24"/>
      <c r="E54" s="24"/>
      <c r="F54" s="24"/>
    </row>
    <row r="55" spans="1:6" x14ac:dyDescent="0.35">
      <c r="A55" s="1" t="s">
        <v>695</v>
      </c>
      <c r="B55" s="1" t="s">
        <v>132</v>
      </c>
      <c r="C55" s="1" t="s">
        <v>324</v>
      </c>
    </row>
    <row r="56" spans="1:6" x14ac:dyDescent="0.35">
      <c r="A56" s="2">
        <v>201</v>
      </c>
      <c r="B56" s="2"/>
      <c r="C56" s="2"/>
    </row>
    <row r="57" spans="1:6" x14ac:dyDescent="0.35">
      <c r="A57" s="2">
        <v>202</v>
      </c>
      <c r="B57" s="2" t="s">
        <v>137</v>
      </c>
      <c r="C57" s="2">
        <v>710</v>
      </c>
    </row>
    <row r="58" spans="1:6" x14ac:dyDescent="0.35">
      <c r="A58" s="2">
        <v>203</v>
      </c>
      <c r="B58" s="2"/>
      <c r="C58" s="2">
        <v>320</v>
      </c>
    </row>
    <row r="59" spans="1:6" x14ac:dyDescent="0.35">
      <c r="A59" s="24" t="s">
        <v>715</v>
      </c>
      <c r="B59" s="24"/>
      <c r="C59" s="24"/>
      <c r="D59" s="24"/>
      <c r="E59" s="24"/>
      <c r="F59" s="24"/>
    </row>
    <row r="60" spans="1:6" x14ac:dyDescent="0.35">
      <c r="A60" s="1" t="s">
        <v>695</v>
      </c>
      <c r="B60" s="1" t="s">
        <v>132</v>
      </c>
      <c r="C60" s="1" t="s">
        <v>324</v>
      </c>
    </row>
    <row r="61" spans="1:6" x14ac:dyDescent="0.35">
      <c r="A61" s="2">
        <v>201</v>
      </c>
      <c r="B61" s="2" t="s">
        <v>716</v>
      </c>
      <c r="C61" s="2">
        <v>0</v>
      </c>
    </row>
    <row r="62" spans="1:6" x14ac:dyDescent="0.35">
      <c r="A62" s="2">
        <v>202</v>
      </c>
      <c r="B62" s="2" t="s">
        <v>137</v>
      </c>
      <c r="C62" s="2">
        <v>710</v>
      </c>
    </row>
    <row r="63" spans="1:6" x14ac:dyDescent="0.35">
      <c r="A63" s="2">
        <v>203</v>
      </c>
      <c r="B63" s="2" t="s">
        <v>716</v>
      </c>
      <c r="C63" s="2">
        <v>320</v>
      </c>
    </row>
  </sheetData>
  <mergeCells count="9">
    <mergeCell ref="A39:F39"/>
    <mergeCell ref="A47:F47"/>
    <mergeCell ref="A54:F54"/>
    <mergeCell ref="A59:F59"/>
    <mergeCell ref="A1:F1"/>
    <mergeCell ref="A3:F3"/>
    <mergeCell ref="A17:F17"/>
    <mergeCell ref="A24:F24"/>
    <mergeCell ref="A32:F3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showGridLines="0" zoomScaleNormal="100" workbookViewId="0"/>
  </sheetViews>
  <sheetFormatPr defaultColWidth="8.6328125" defaultRowHeight="14.5" x14ac:dyDescent="0.35"/>
  <cols>
    <col min="1" max="6" width="16" customWidth="1"/>
  </cols>
  <sheetData>
    <row r="1" spans="1:8" ht="18" x14ac:dyDescent="0.4">
      <c r="A1" s="26" t="s">
        <v>717</v>
      </c>
      <c r="B1" s="26"/>
      <c r="C1" s="26"/>
      <c r="D1" s="26"/>
      <c r="E1" s="26"/>
      <c r="F1" s="26"/>
    </row>
    <row r="3" spans="1:8" x14ac:dyDescent="0.35">
      <c r="A3" s="24" t="s">
        <v>718</v>
      </c>
      <c r="B3" s="24"/>
      <c r="C3" s="24"/>
      <c r="D3" s="24"/>
    </row>
    <row r="4" spans="1:8" x14ac:dyDescent="0.35">
      <c r="A4" s="14" t="s">
        <v>719</v>
      </c>
    </row>
    <row r="6" spans="1:8" x14ac:dyDescent="0.35">
      <c r="C6" s="30" t="s">
        <v>720</v>
      </c>
      <c r="D6" s="30"/>
      <c r="E6" s="31" t="s">
        <v>721</v>
      </c>
      <c r="F6" s="31"/>
      <c r="G6" s="32" t="s">
        <v>722</v>
      </c>
      <c r="H6" s="32"/>
    </row>
    <row r="7" spans="1:8" ht="27.75" customHeight="1" x14ac:dyDescent="0.4">
      <c r="A7" s="1" t="s">
        <v>324</v>
      </c>
      <c r="C7" s="27">
        <f>MIN(A8:A37)</f>
        <v>157</v>
      </c>
      <c r="D7" s="27"/>
      <c r="E7" s="28">
        <f>MAX(A8:A37)</f>
        <v>2071</v>
      </c>
      <c r="F7" s="28"/>
      <c r="G7" s="29">
        <f>AVERAGE(A8:A37)</f>
        <v>1036.0999999999999</v>
      </c>
      <c r="H7" s="29"/>
    </row>
    <row r="8" spans="1:8" x14ac:dyDescent="0.35">
      <c r="A8" s="2">
        <v>1196</v>
      </c>
    </row>
    <row r="9" spans="1:8" x14ac:dyDescent="0.35">
      <c r="A9" s="2">
        <v>1618</v>
      </c>
    </row>
    <row r="10" spans="1:8" x14ac:dyDescent="0.35">
      <c r="A10" s="2">
        <v>268</v>
      </c>
    </row>
    <row r="11" spans="1:8" x14ac:dyDescent="0.35">
      <c r="A11" s="2">
        <v>2057</v>
      </c>
    </row>
    <row r="12" spans="1:8" x14ac:dyDescent="0.35">
      <c r="A12" s="2">
        <v>1170</v>
      </c>
    </row>
    <row r="13" spans="1:8" x14ac:dyDescent="0.35">
      <c r="A13" s="2">
        <v>362</v>
      </c>
    </row>
    <row r="14" spans="1:8" x14ac:dyDescent="0.35">
      <c r="A14" s="2">
        <v>792</v>
      </c>
    </row>
    <row r="15" spans="1:8" x14ac:dyDescent="0.35">
      <c r="A15" s="2">
        <v>613</v>
      </c>
    </row>
    <row r="16" spans="1:8" x14ac:dyDescent="0.35">
      <c r="A16" s="2">
        <v>1672</v>
      </c>
    </row>
    <row r="17" spans="1:1" x14ac:dyDescent="0.35">
      <c r="A17" s="2">
        <v>2071</v>
      </c>
    </row>
    <row r="18" spans="1:1" x14ac:dyDescent="0.35">
      <c r="A18" s="2">
        <v>1159</v>
      </c>
    </row>
    <row r="19" spans="1:1" x14ac:dyDescent="0.35">
      <c r="A19" s="2">
        <v>1709</v>
      </c>
    </row>
    <row r="20" spans="1:1" x14ac:dyDescent="0.35">
      <c r="A20" s="2">
        <v>567</v>
      </c>
    </row>
    <row r="21" spans="1:1" x14ac:dyDescent="0.35">
      <c r="A21" s="2">
        <v>1171</v>
      </c>
    </row>
    <row r="22" spans="1:1" x14ac:dyDescent="0.35">
      <c r="A22" s="2">
        <v>203</v>
      </c>
    </row>
    <row r="23" spans="1:1" x14ac:dyDescent="0.35">
      <c r="A23" s="2">
        <v>1037</v>
      </c>
    </row>
    <row r="24" spans="1:1" x14ac:dyDescent="0.35">
      <c r="A24" s="2">
        <v>1821</v>
      </c>
    </row>
    <row r="25" spans="1:1" x14ac:dyDescent="0.35">
      <c r="A25" s="2">
        <v>1294</v>
      </c>
    </row>
    <row r="26" spans="1:1" x14ac:dyDescent="0.35">
      <c r="A26" s="2">
        <v>895</v>
      </c>
    </row>
    <row r="27" spans="1:1" x14ac:dyDescent="0.35">
      <c r="A27" s="2">
        <v>1745</v>
      </c>
    </row>
    <row r="28" spans="1:1" x14ac:dyDescent="0.35">
      <c r="A28" s="2">
        <v>803</v>
      </c>
    </row>
    <row r="29" spans="1:1" x14ac:dyDescent="0.35">
      <c r="A29" s="2">
        <v>444</v>
      </c>
    </row>
    <row r="30" spans="1:1" x14ac:dyDescent="0.35">
      <c r="A30" s="2">
        <v>718</v>
      </c>
    </row>
    <row r="31" spans="1:1" x14ac:dyDescent="0.35">
      <c r="A31" s="2">
        <v>1972</v>
      </c>
    </row>
    <row r="32" spans="1:1" x14ac:dyDescent="0.35">
      <c r="A32" s="2">
        <v>668</v>
      </c>
    </row>
    <row r="33" spans="1:6" x14ac:dyDescent="0.35">
      <c r="A33" s="2">
        <v>691</v>
      </c>
    </row>
    <row r="34" spans="1:6" x14ac:dyDescent="0.35">
      <c r="A34" s="2">
        <v>157</v>
      </c>
    </row>
    <row r="35" spans="1:6" x14ac:dyDescent="0.35">
      <c r="A35" s="2">
        <v>171</v>
      </c>
    </row>
    <row r="36" spans="1:6" x14ac:dyDescent="0.35">
      <c r="A36" s="2">
        <v>1007</v>
      </c>
    </row>
    <row r="37" spans="1:6" x14ac:dyDescent="0.35">
      <c r="A37" s="2">
        <v>1032</v>
      </c>
    </row>
    <row r="40" spans="1:6" x14ac:dyDescent="0.35">
      <c r="A40" s="24" t="s">
        <v>723</v>
      </c>
      <c r="B40" s="24"/>
      <c r="C40" s="24"/>
      <c r="D40" s="24"/>
      <c r="E40" s="24"/>
      <c r="F40" s="24"/>
    </row>
    <row r="41" spans="1:6" x14ac:dyDescent="0.35">
      <c r="A41" s="1" t="s">
        <v>724</v>
      </c>
      <c r="B41" s="1" t="s">
        <v>725</v>
      </c>
    </row>
    <row r="42" spans="1:6" x14ac:dyDescent="0.35">
      <c r="A42" s="2" t="s">
        <v>726</v>
      </c>
      <c r="B42" s="2">
        <v>42</v>
      </c>
    </row>
    <row r="43" spans="1:6" x14ac:dyDescent="0.35">
      <c r="A43" s="2" t="s">
        <v>727</v>
      </c>
      <c r="B43" s="2">
        <v>25</v>
      </c>
    </row>
    <row r="44" spans="1:6" x14ac:dyDescent="0.35">
      <c r="A44" s="2" t="s">
        <v>728</v>
      </c>
      <c r="B44" s="2">
        <v>20</v>
      </c>
    </row>
    <row r="45" spans="1:6" x14ac:dyDescent="0.35">
      <c r="A45" s="2" t="s">
        <v>729</v>
      </c>
      <c r="B45" s="2">
        <v>13</v>
      </c>
    </row>
    <row r="46" spans="1:6" ht="27.75" customHeight="1" x14ac:dyDescent="0.35">
      <c r="A46" s="25" t="s">
        <v>730</v>
      </c>
      <c r="B46" s="25"/>
      <c r="C46" s="25"/>
      <c r="D46" s="25"/>
    </row>
    <row r="48" spans="1:6" x14ac:dyDescent="0.35">
      <c r="A48" s="24" t="s">
        <v>731</v>
      </c>
      <c r="B48" s="24"/>
      <c r="C48" s="24"/>
      <c r="D48" s="24"/>
      <c r="E48" s="24"/>
      <c r="F48" s="24"/>
    </row>
    <row r="49" spans="1:6" ht="28" x14ac:dyDescent="0.35">
      <c r="A49" s="1" t="s">
        <v>732</v>
      </c>
      <c r="B49" s="1" t="s">
        <v>733</v>
      </c>
    </row>
    <row r="50" spans="1:6" x14ac:dyDescent="0.35">
      <c r="A50" s="2" t="s">
        <v>734</v>
      </c>
      <c r="B50" s="2">
        <v>1200</v>
      </c>
    </row>
    <row r="51" spans="1:6" x14ac:dyDescent="0.35">
      <c r="A51" s="2" t="s">
        <v>735</v>
      </c>
      <c r="B51" s="2">
        <v>150</v>
      </c>
    </row>
    <row r="52" spans="1:6" x14ac:dyDescent="0.35">
      <c r="A52" s="2" t="s">
        <v>736</v>
      </c>
      <c r="B52" s="2">
        <v>-80</v>
      </c>
    </row>
    <row r="53" spans="1:6" x14ac:dyDescent="0.35">
      <c r="A53" s="2" t="s">
        <v>737</v>
      </c>
      <c r="B53" s="2">
        <v>220</v>
      </c>
    </row>
    <row r="54" spans="1:6" x14ac:dyDescent="0.35">
      <c r="A54" s="2" t="s">
        <v>738</v>
      </c>
      <c r="B54" s="2">
        <v>-40</v>
      </c>
    </row>
    <row r="55" spans="1:6" ht="27.75" customHeight="1" x14ac:dyDescent="0.35">
      <c r="A55" s="25" t="s">
        <v>739</v>
      </c>
      <c r="B55" s="25"/>
      <c r="C55" s="25"/>
      <c r="D55" s="25"/>
    </row>
    <row r="57" spans="1:6" ht="27.75" customHeight="1" x14ac:dyDescent="0.35">
      <c r="A57" s="25" t="s">
        <v>740</v>
      </c>
      <c r="B57" s="25"/>
      <c r="C57" s="25"/>
      <c r="D57" s="25"/>
      <c r="E57" s="25"/>
      <c r="F57" s="25"/>
    </row>
  </sheetData>
  <mergeCells count="13">
    <mergeCell ref="G7:H7"/>
    <mergeCell ref="A40:F40"/>
    <mergeCell ref="A46:D46"/>
    <mergeCell ref="A1:F1"/>
    <mergeCell ref="A3:D3"/>
    <mergeCell ref="C6:D6"/>
    <mergeCell ref="E6:F6"/>
    <mergeCell ref="G6:H6"/>
    <mergeCell ref="A48:F48"/>
    <mergeCell ref="A55:D55"/>
    <mergeCell ref="A57:F57"/>
    <mergeCell ref="C7:D7"/>
    <mergeCell ref="E7:F7"/>
  </mergeCells>
  <pageMargins left="0.75" right="0.75" top="1" bottom="1"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7"/>
  <sheetViews>
    <sheetView showGridLines="0" zoomScaleNormal="100" workbookViewId="0">
      <selection sqref="A1:F1"/>
    </sheetView>
  </sheetViews>
  <sheetFormatPr defaultColWidth="8.6328125" defaultRowHeight="14.5" x14ac:dyDescent="0.35"/>
  <cols>
    <col min="1" max="3" width="12" customWidth="1"/>
    <col min="4" max="4" width="13" customWidth="1"/>
    <col min="5" max="5" width="11" customWidth="1"/>
    <col min="6" max="6" width="12" customWidth="1"/>
    <col min="7" max="7" width="9" customWidth="1"/>
    <col min="8" max="9" width="11" customWidth="1"/>
    <col min="10" max="10" width="9" customWidth="1"/>
    <col min="11" max="11" width="10" customWidth="1"/>
    <col min="12" max="12" width="14" customWidth="1"/>
    <col min="13" max="13" width="12" customWidth="1"/>
    <col min="14" max="14" width="10" customWidth="1"/>
    <col min="15" max="16" width="9" customWidth="1"/>
    <col min="17" max="17" width="10" customWidth="1"/>
  </cols>
  <sheetData>
    <row r="1" spans="1:17" ht="18" x14ac:dyDescent="0.4">
      <c r="A1" s="26" t="s">
        <v>741</v>
      </c>
      <c r="B1" s="26"/>
      <c r="C1" s="26"/>
      <c r="D1" s="26"/>
      <c r="E1" s="26"/>
      <c r="F1" s="26"/>
    </row>
    <row r="2" spans="1:17" ht="27.75" customHeight="1" x14ac:dyDescent="0.35">
      <c r="A2" s="25" t="s">
        <v>742</v>
      </c>
      <c r="B2" s="25"/>
      <c r="C2" s="25"/>
      <c r="D2" s="25"/>
      <c r="E2" s="25"/>
      <c r="F2" s="25"/>
      <c r="G2" s="25"/>
      <c r="H2" s="25"/>
    </row>
    <row r="5" spans="1:17" ht="28" x14ac:dyDescent="0.35">
      <c r="A5" s="1" t="s">
        <v>43</v>
      </c>
      <c r="B5" s="1" t="s">
        <v>315</v>
      </c>
      <c r="C5" s="1" t="s">
        <v>743</v>
      </c>
      <c r="D5" s="1" t="s">
        <v>744</v>
      </c>
      <c r="E5" s="1" t="s">
        <v>745</v>
      </c>
      <c r="F5" s="1" t="s">
        <v>746</v>
      </c>
      <c r="G5" s="1" t="s">
        <v>747</v>
      </c>
      <c r="H5" s="1" t="s">
        <v>133</v>
      </c>
      <c r="I5" s="1" t="s">
        <v>748</v>
      </c>
      <c r="J5" s="1" t="s">
        <v>107</v>
      </c>
      <c r="K5" s="1" t="s">
        <v>414</v>
      </c>
      <c r="L5" s="1" t="s">
        <v>415</v>
      </c>
      <c r="M5" s="1" t="s">
        <v>749</v>
      </c>
      <c r="N5" s="1" t="s">
        <v>109</v>
      </c>
      <c r="O5" s="1" t="s">
        <v>750</v>
      </c>
      <c r="P5" s="1" t="s">
        <v>406</v>
      </c>
      <c r="Q5" s="1" t="s">
        <v>751</v>
      </c>
    </row>
    <row r="6" spans="1:17" x14ac:dyDescent="0.35">
      <c r="A6" s="2" t="s">
        <v>752</v>
      </c>
      <c r="B6" s="17">
        <v>45768</v>
      </c>
      <c r="C6" s="17">
        <v>45904</v>
      </c>
      <c r="D6" s="2" t="s">
        <v>753</v>
      </c>
      <c r="E6" s="2" t="s">
        <v>754</v>
      </c>
      <c r="F6" s="2" t="s">
        <v>755</v>
      </c>
      <c r="G6" s="2" t="s">
        <v>756</v>
      </c>
      <c r="H6" s="2" t="s">
        <v>138</v>
      </c>
      <c r="I6" s="2" t="s">
        <v>757</v>
      </c>
      <c r="J6" s="2" t="s">
        <v>113</v>
      </c>
      <c r="K6" s="2" t="s">
        <v>758</v>
      </c>
      <c r="L6" s="2" t="s">
        <v>759</v>
      </c>
      <c r="M6" s="2" t="s">
        <v>760</v>
      </c>
      <c r="N6" s="2">
        <v>1730.62</v>
      </c>
      <c r="O6" s="2">
        <v>6</v>
      </c>
      <c r="P6" s="2">
        <v>0.4</v>
      </c>
      <c r="Q6" s="2">
        <v>-202.8</v>
      </c>
    </row>
    <row r="7" spans="1:17" x14ac:dyDescent="0.35">
      <c r="A7" s="2" t="s">
        <v>761</v>
      </c>
      <c r="B7" s="17">
        <v>45679</v>
      </c>
      <c r="C7" s="17">
        <v>45884</v>
      </c>
      <c r="D7" s="2" t="s">
        <v>753</v>
      </c>
      <c r="E7" s="2" t="s">
        <v>762</v>
      </c>
      <c r="F7" s="2" t="s">
        <v>763</v>
      </c>
      <c r="G7" s="2" t="s">
        <v>756</v>
      </c>
      <c r="H7" s="2" t="s">
        <v>764</v>
      </c>
      <c r="I7" s="2" t="s">
        <v>757</v>
      </c>
      <c r="J7" s="2" t="s">
        <v>765</v>
      </c>
      <c r="K7" s="2" t="s">
        <v>766</v>
      </c>
      <c r="L7" s="2" t="s">
        <v>767</v>
      </c>
      <c r="M7" s="2" t="s">
        <v>420</v>
      </c>
      <c r="N7" s="2">
        <v>191.78</v>
      </c>
      <c r="O7" s="2">
        <v>8</v>
      </c>
      <c r="P7" s="2">
        <v>0.1</v>
      </c>
      <c r="Q7" s="2">
        <v>57.34</v>
      </c>
    </row>
    <row r="8" spans="1:17" x14ac:dyDescent="0.35">
      <c r="A8" s="2" t="s">
        <v>768</v>
      </c>
      <c r="B8" s="17">
        <v>45703</v>
      </c>
      <c r="C8" s="17">
        <v>45724</v>
      </c>
      <c r="D8" s="2" t="s">
        <v>769</v>
      </c>
      <c r="E8" s="2" t="s">
        <v>770</v>
      </c>
      <c r="F8" s="2" t="s">
        <v>763</v>
      </c>
      <c r="G8" s="2" t="s">
        <v>756</v>
      </c>
      <c r="H8" s="2" t="s">
        <v>138</v>
      </c>
      <c r="I8" s="2" t="s">
        <v>771</v>
      </c>
      <c r="J8" s="2" t="s">
        <v>115</v>
      </c>
      <c r="K8" s="2" t="s">
        <v>772</v>
      </c>
      <c r="L8" s="2" t="s">
        <v>767</v>
      </c>
      <c r="M8" s="2" t="s">
        <v>773</v>
      </c>
      <c r="N8" s="2">
        <v>1629.06</v>
      </c>
      <c r="O8" s="2">
        <v>8</v>
      </c>
      <c r="P8" s="2">
        <v>0.15</v>
      </c>
      <c r="Q8" s="2">
        <v>-464.13</v>
      </c>
    </row>
    <row r="9" spans="1:17" x14ac:dyDescent="0.35">
      <c r="A9" s="2" t="s">
        <v>774</v>
      </c>
      <c r="B9" s="17">
        <v>45778</v>
      </c>
      <c r="C9" s="17">
        <v>45699</v>
      </c>
      <c r="D9" s="2" t="s">
        <v>769</v>
      </c>
      <c r="E9" s="2" t="s">
        <v>775</v>
      </c>
      <c r="F9" s="2" t="s">
        <v>755</v>
      </c>
      <c r="G9" s="2" t="s">
        <v>756</v>
      </c>
      <c r="H9" s="2" t="s">
        <v>139</v>
      </c>
      <c r="I9" s="2" t="s">
        <v>757</v>
      </c>
      <c r="J9" s="2" t="s">
        <v>115</v>
      </c>
      <c r="K9" s="2" t="s">
        <v>776</v>
      </c>
      <c r="L9" s="2" t="s">
        <v>759</v>
      </c>
      <c r="M9" s="2" t="s">
        <v>777</v>
      </c>
      <c r="N9" s="2">
        <v>1669.47</v>
      </c>
      <c r="O9" s="2">
        <v>7</v>
      </c>
      <c r="P9" s="2">
        <v>0.2</v>
      </c>
      <c r="Q9" s="2">
        <v>438.78</v>
      </c>
    </row>
    <row r="10" spans="1:17" x14ac:dyDescent="0.35">
      <c r="A10" s="2" t="s">
        <v>778</v>
      </c>
      <c r="B10" s="17">
        <v>45844</v>
      </c>
      <c r="C10" s="17">
        <v>45892</v>
      </c>
      <c r="D10" s="2" t="s">
        <v>753</v>
      </c>
      <c r="E10" s="2" t="s">
        <v>779</v>
      </c>
      <c r="F10" s="2" t="s">
        <v>763</v>
      </c>
      <c r="G10" s="2" t="s">
        <v>756</v>
      </c>
      <c r="H10" s="2" t="s">
        <v>494</v>
      </c>
      <c r="I10" s="2" t="s">
        <v>771</v>
      </c>
      <c r="J10" s="2" t="s">
        <v>115</v>
      </c>
      <c r="K10" s="2" t="s">
        <v>780</v>
      </c>
      <c r="L10" s="2" t="s">
        <v>759</v>
      </c>
      <c r="M10" s="2" t="s">
        <v>760</v>
      </c>
      <c r="N10" s="2">
        <v>2309.46</v>
      </c>
      <c r="O10" s="2">
        <v>5</v>
      </c>
      <c r="P10" s="2">
        <v>0.3</v>
      </c>
      <c r="Q10" s="2">
        <v>-77.959999999999994</v>
      </c>
    </row>
    <row r="11" spans="1:17" x14ac:dyDescent="0.35">
      <c r="A11" s="2" t="s">
        <v>781</v>
      </c>
      <c r="B11" s="17">
        <v>45911</v>
      </c>
      <c r="C11" s="17">
        <v>45662</v>
      </c>
      <c r="D11" s="2" t="s">
        <v>782</v>
      </c>
      <c r="E11" s="2" t="s">
        <v>783</v>
      </c>
      <c r="F11" s="2" t="s">
        <v>755</v>
      </c>
      <c r="G11" s="2" t="s">
        <v>756</v>
      </c>
      <c r="H11" s="2" t="s">
        <v>138</v>
      </c>
      <c r="I11" s="2" t="s">
        <v>771</v>
      </c>
      <c r="J11" s="2" t="s">
        <v>113</v>
      </c>
      <c r="K11" s="2" t="s">
        <v>784</v>
      </c>
      <c r="L11" s="2" t="s">
        <v>759</v>
      </c>
      <c r="M11" s="2" t="s">
        <v>777</v>
      </c>
      <c r="N11" s="2">
        <v>414.18</v>
      </c>
      <c r="O11" s="2">
        <v>3</v>
      </c>
      <c r="P11" s="2">
        <v>0.4</v>
      </c>
      <c r="Q11" s="2">
        <v>143.03</v>
      </c>
    </row>
    <row r="12" spans="1:17" x14ac:dyDescent="0.35">
      <c r="A12" s="2" t="s">
        <v>785</v>
      </c>
      <c r="B12" s="17">
        <v>45814</v>
      </c>
      <c r="C12" s="17">
        <v>45786</v>
      </c>
      <c r="D12" s="2" t="s">
        <v>769</v>
      </c>
      <c r="E12" s="2" t="s">
        <v>786</v>
      </c>
      <c r="F12" s="2" t="s">
        <v>755</v>
      </c>
      <c r="G12" s="2" t="s">
        <v>756</v>
      </c>
      <c r="H12" s="2" t="s">
        <v>139</v>
      </c>
      <c r="I12" s="2" t="s">
        <v>757</v>
      </c>
      <c r="J12" s="2" t="s">
        <v>115</v>
      </c>
      <c r="K12" s="2" t="s">
        <v>787</v>
      </c>
      <c r="L12" s="2" t="s">
        <v>767</v>
      </c>
      <c r="M12" s="2" t="s">
        <v>773</v>
      </c>
      <c r="N12" s="2">
        <v>1573.71</v>
      </c>
      <c r="O12" s="2">
        <v>6</v>
      </c>
      <c r="P12" s="2">
        <v>0.15</v>
      </c>
      <c r="Q12" s="2">
        <v>-117.56</v>
      </c>
    </row>
    <row r="13" spans="1:17" x14ac:dyDescent="0.35">
      <c r="A13" s="2" t="s">
        <v>788</v>
      </c>
      <c r="B13" s="17">
        <v>45781</v>
      </c>
      <c r="C13" s="17">
        <v>45869</v>
      </c>
      <c r="D13" s="2" t="s">
        <v>769</v>
      </c>
      <c r="E13" s="2" t="s">
        <v>789</v>
      </c>
      <c r="F13" s="2" t="s">
        <v>790</v>
      </c>
      <c r="G13" s="2" t="s">
        <v>756</v>
      </c>
      <c r="H13" s="2" t="s">
        <v>139</v>
      </c>
      <c r="I13" s="2" t="s">
        <v>771</v>
      </c>
      <c r="J13" s="2" t="s">
        <v>115</v>
      </c>
      <c r="K13" s="2" t="s">
        <v>791</v>
      </c>
      <c r="L13" s="2" t="s">
        <v>759</v>
      </c>
      <c r="M13" s="2" t="s">
        <v>792</v>
      </c>
      <c r="N13" s="2">
        <v>111.01</v>
      </c>
      <c r="O13" s="2">
        <v>7</v>
      </c>
      <c r="P13" s="2">
        <v>0.3</v>
      </c>
      <c r="Q13" s="2">
        <v>31.54</v>
      </c>
    </row>
    <row r="14" spans="1:17" x14ac:dyDescent="0.35">
      <c r="A14" s="2" t="s">
        <v>793</v>
      </c>
      <c r="B14" s="17">
        <v>45693</v>
      </c>
      <c r="C14" s="17">
        <v>45885</v>
      </c>
      <c r="D14" s="2" t="s">
        <v>782</v>
      </c>
      <c r="E14" s="2" t="s">
        <v>794</v>
      </c>
      <c r="F14" s="2" t="s">
        <v>790</v>
      </c>
      <c r="G14" s="2" t="s">
        <v>756</v>
      </c>
      <c r="H14" s="2" t="s">
        <v>764</v>
      </c>
      <c r="I14" s="2" t="s">
        <v>757</v>
      </c>
      <c r="J14" s="2" t="s">
        <v>765</v>
      </c>
      <c r="K14" s="2" t="s">
        <v>795</v>
      </c>
      <c r="L14" s="2" t="s">
        <v>767</v>
      </c>
      <c r="M14" s="2" t="s">
        <v>773</v>
      </c>
      <c r="N14" s="2">
        <v>2341.9899999999998</v>
      </c>
      <c r="O14" s="2">
        <v>1</v>
      </c>
      <c r="P14" s="2">
        <v>0.1</v>
      </c>
      <c r="Q14" s="2">
        <v>-455.54</v>
      </c>
    </row>
    <row r="15" spans="1:17" x14ac:dyDescent="0.35">
      <c r="A15" s="2" t="s">
        <v>796</v>
      </c>
      <c r="B15" s="17">
        <v>45859</v>
      </c>
      <c r="C15" s="17">
        <v>45696</v>
      </c>
      <c r="D15" s="2" t="s">
        <v>782</v>
      </c>
      <c r="E15" s="2" t="s">
        <v>797</v>
      </c>
      <c r="F15" s="2" t="s">
        <v>790</v>
      </c>
      <c r="G15" s="2" t="s">
        <v>756</v>
      </c>
      <c r="H15" s="2" t="s">
        <v>138</v>
      </c>
      <c r="I15" s="2" t="s">
        <v>757</v>
      </c>
      <c r="J15" s="2" t="s">
        <v>115</v>
      </c>
      <c r="K15" s="2" t="s">
        <v>798</v>
      </c>
      <c r="L15" s="2" t="s">
        <v>799</v>
      </c>
      <c r="M15" s="2" t="s">
        <v>800</v>
      </c>
      <c r="N15" s="2">
        <v>738.89</v>
      </c>
      <c r="O15" s="2">
        <v>1</v>
      </c>
      <c r="P15" s="2">
        <v>0.2</v>
      </c>
      <c r="Q15" s="2">
        <v>-102.27</v>
      </c>
    </row>
    <row r="16" spans="1:17" x14ac:dyDescent="0.35">
      <c r="A16" s="2" t="s">
        <v>801</v>
      </c>
      <c r="B16" s="17">
        <v>45903</v>
      </c>
      <c r="C16" s="17">
        <v>45675</v>
      </c>
      <c r="D16" s="2" t="s">
        <v>769</v>
      </c>
      <c r="E16" s="2" t="s">
        <v>802</v>
      </c>
      <c r="F16" s="2" t="s">
        <v>763</v>
      </c>
      <c r="G16" s="2" t="s">
        <v>756</v>
      </c>
      <c r="H16" s="2" t="s">
        <v>138</v>
      </c>
      <c r="I16" s="2" t="s">
        <v>771</v>
      </c>
      <c r="J16" s="2" t="s">
        <v>115</v>
      </c>
      <c r="K16" s="2" t="s">
        <v>803</v>
      </c>
      <c r="L16" s="2" t="s">
        <v>799</v>
      </c>
      <c r="M16" s="2" t="s">
        <v>804</v>
      </c>
      <c r="N16" s="2">
        <v>2398.02</v>
      </c>
      <c r="O16" s="2">
        <v>8</v>
      </c>
      <c r="P16" s="2">
        <v>0.3</v>
      </c>
      <c r="Q16" s="2">
        <v>701.28</v>
      </c>
    </row>
    <row r="17" spans="1:17" x14ac:dyDescent="0.35">
      <c r="A17" s="2" t="s">
        <v>805</v>
      </c>
      <c r="B17" s="17">
        <v>45729</v>
      </c>
      <c r="C17" s="17">
        <v>45666</v>
      </c>
      <c r="D17" s="2" t="s">
        <v>782</v>
      </c>
      <c r="E17" s="2" t="s">
        <v>806</v>
      </c>
      <c r="F17" s="2" t="s">
        <v>790</v>
      </c>
      <c r="G17" s="2" t="s">
        <v>756</v>
      </c>
      <c r="H17" s="2" t="s">
        <v>138</v>
      </c>
      <c r="I17" s="2" t="s">
        <v>757</v>
      </c>
      <c r="J17" s="2" t="s">
        <v>765</v>
      </c>
      <c r="K17" s="2" t="s">
        <v>807</v>
      </c>
      <c r="L17" s="2" t="s">
        <v>767</v>
      </c>
      <c r="M17" s="2" t="s">
        <v>420</v>
      </c>
      <c r="N17" s="2">
        <v>783.78</v>
      </c>
      <c r="O17" s="2">
        <v>6</v>
      </c>
      <c r="P17" s="2">
        <v>0.3</v>
      </c>
      <c r="Q17" s="2">
        <v>64.64</v>
      </c>
    </row>
    <row r="18" spans="1:17" x14ac:dyDescent="0.35">
      <c r="A18" s="2" t="s">
        <v>808</v>
      </c>
      <c r="B18" s="17">
        <v>45865</v>
      </c>
      <c r="C18" s="17">
        <v>45731</v>
      </c>
      <c r="D18" s="2" t="s">
        <v>769</v>
      </c>
      <c r="E18" s="2" t="s">
        <v>809</v>
      </c>
      <c r="F18" s="2" t="s">
        <v>755</v>
      </c>
      <c r="G18" s="2" t="s">
        <v>756</v>
      </c>
      <c r="H18" s="2" t="s">
        <v>139</v>
      </c>
      <c r="I18" s="2" t="s">
        <v>771</v>
      </c>
      <c r="J18" s="2" t="s">
        <v>113</v>
      </c>
      <c r="K18" s="2" t="s">
        <v>810</v>
      </c>
      <c r="L18" s="2" t="s">
        <v>767</v>
      </c>
      <c r="M18" s="2" t="s">
        <v>773</v>
      </c>
      <c r="N18" s="2">
        <v>2132.17</v>
      </c>
      <c r="O18" s="2">
        <v>3</v>
      </c>
      <c r="P18" s="2">
        <v>0.3</v>
      </c>
      <c r="Q18" s="2">
        <v>-56.04</v>
      </c>
    </row>
    <row r="19" spans="1:17" x14ac:dyDescent="0.35">
      <c r="A19" s="2" t="s">
        <v>811</v>
      </c>
      <c r="B19" s="17">
        <v>45718</v>
      </c>
      <c r="C19" s="17">
        <v>45805</v>
      </c>
      <c r="D19" s="2" t="s">
        <v>769</v>
      </c>
      <c r="E19" s="2" t="s">
        <v>812</v>
      </c>
      <c r="F19" s="2" t="s">
        <v>763</v>
      </c>
      <c r="G19" s="2" t="s">
        <v>756</v>
      </c>
      <c r="H19" s="2" t="s">
        <v>494</v>
      </c>
      <c r="I19" s="2" t="s">
        <v>771</v>
      </c>
      <c r="J19" s="2" t="s">
        <v>115</v>
      </c>
      <c r="K19" s="2" t="s">
        <v>813</v>
      </c>
      <c r="L19" s="2" t="s">
        <v>759</v>
      </c>
      <c r="M19" s="2" t="s">
        <v>792</v>
      </c>
      <c r="N19" s="2">
        <v>1128.2</v>
      </c>
      <c r="O19" s="2">
        <v>4</v>
      </c>
      <c r="P19" s="2">
        <v>0.1</v>
      </c>
      <c r="Q19" s="2">
        <v>-285.74</v>
      </c>
    </row>
    <row r="20" spans="1:17" x14ac:dyDescent="0.35">
      <c r="A20" s="2" t="s">
        <v>814</v>
      </c>
      <c r="B20" s="17">
        <v>45939</v>
      </c>
      <c r="C20" s="17">
        <v>45684</v>
      </c>
      <c r="D20" s="2" t="s">
        <v>753</v>
      </c>
      <c r="E20" s="2" t="s">
        <v>815</v>
      </c>
      <c r="F20" s="2" t="s">
        <v>790</v>
      </c>
      <c r="G20" s="2" t="s">
        <v>756</v>
      </c>
      <c r="H20" s="2" t="s">
        <v>139</v>
      </c>
      <c r="I20" s="2" t="s">
        <v>757</v>
      </c>
      <c r="J20" s="2" t="s">
        <v>115</v>
      </c>
      <c r="K20" s="2" t="s">
        <v>816</v>
      </c>
      <c r="L20" s="2" t="s">
        <v>767</v>
      </c>
      <c r="M20" s="2" t="s">
        <v>773</v>
      </c>
      <c r="N20" s="2">
        <v>470.31</v>
      </c>
      <c r="O20" s="2">
        <v>8</v>
      </c>
      <c r="P20" s="2">
        <v>0.2</v>
      </c>
      <c r="Q20" s="2">
        <v>-79.459999999999994</v>
      </c>
    </row>
    <row r="21" spans="1:17" x14ac:dyDescent="0.35">
      <c r="A21" s="2" t="s">
        <v>817</v>
      </c>
      <c r="B21" s="17">
        <v>45777</v>
      </c>
      <c r="C21" s="17">
        <v>45790</v>
      </c>
      <c r="D21" s="2" t="s">
        <v>753</v>
      </c>
      <c r="E21" s="2" t="s">
        <v>754</v>
      </c>
      <c r="F21" s="2" t="s">
        <v>790</v>
      </c>
      <c r="G21" s="2" t="s">
        <v>756</v>
      </c>
      <c r="H21" s="2" t="s">
        <v>494</v>
      </c>
      <c r="I21" s="2" t="s">
        <v>757</v>
      </c>
      <c r="J21" s="2" t="s">
        <v>116</v>
      </c>
      <c r="K21" s="2" t="s">
        <v>818</v>
      </c>
      <c r="L21" s="2" t="s">
        <v>759</v>
      </c>
      <c r="M21" s="2" t="s">
        <v>760</v>
      </c>
      <c r="N21" s="2">
        <v>1914.52</v>
      </c>
      <c r="O21" s="2">
        <v>7</v>
      </c>
      <c r="P21" s="2">
        <v>0.1</v>
      </c>
      <c r="Q21" s="2">
        <v>488.94</v>
      </c>
    </row>
    <row r="22" spans="1:17" x14ac:dyDescent="0.35">
      <c r="A22" s="2" t="s">
        <v>819</v>
      </c>
      <c r="B22" s="17">
        <v>45939</v>
      </c>
      <c r="C22" s="17">
        <v>45911</v>
      </c>
      <c r="D22" s="2" t="s">
        <v>753</v>
      </c>
      <c r="E22" s="2" t="s">
        <v>762</v>
      </c>
      <c r="F22" s="2" t="s">
        <v>755</v>
      </c>
      <c r="G22" s="2" t="s">
        <v>756</v>
      </c>
      <c r="H22" s="2" t="s">
        <v>139</v>
      </c>
      <c r="I22" s="2" t="s">
        <v>771</v>
      </c>
      <c r="J22" s="2" t="s">
        <v>765</v>
      </c>
      <c r="K22" s="2" t="s">
        <v>820</v>
      </c>
      <c r="L22" s="2" t="s">
        <v>759</v>
      </c>
      <c r="M22" s="2" t="s">
        <v>760</v>
      </c>
      <c r="N22" s="2">
        <v>1820.83</v>
      </c>
      <c r="O22" s="2">
        <v>5</v>
      </c>
      <c r="P22" s="2">
        <v>0.15</v>
      </c>
      <c r="Q22" s="2">
        <v>421.42</v>
      </c>
    </row>
    <row r="23" spans="1:17" x14ac:dyDescent="0.35">
      <c r="A23" s="2" t="s">
        <v>821</v>
      </c>
      <c r="B23" s="17">
        <v>45824</v>
      </c>
      <c r="C23" s="17">
        <v>45764</v>
      </c>
      <c r="D23" s="2" t="s">
        <v>782</v>
      </c>
      <c r="E23" s="2" t="s">
        <v>770</v>
      </c>
      <c r="F23" s="2" t="s">
        <v>755</v>
      </c>
      <c r="G23" s="2" t="s">
        <v>756</v>
      </c>
      <c r="H23" s="2" t="s">
        <v>494</v>
      </c>
      <c r="I23" s="2" t="s">
        <v>771</v>
      </c>
      <c r="J23" s="2" t="s">
        <v>113</v>
      </c>
      <c r="K23" s="2" t="s">
        <v>822</v>
      </c>
      <c r="L23" s="2" t="s">
        <v>767</v>
      </c>
      <c r="M23" s="2" t="s">
        <v>823</v>
      </c>
      <c r="N23" s="2">
        <v>1323.95</v>
      </c>
      <c r="O23" s="2">
        <v>2</v>
      </c>
      <c r="P23" s="2">
        <v>0.3</v>
      </c>
      <c r="Q23" s="2">
        <v>-234.06</v>
      </c>
    </row>
    <row r="24" spans="1:17" x14ac:dyDescent="0.35">
      <c r="A24" s="2" t="s">
        <v>824</v>
      </c>
      <c r="B24" s="17">
        <v>45668</v>
      </c>
      <c r="C24" s="17">
        <v>45887</v>
      </c>
      <c r="D24" s="2" t="s">
        <v>782</v>
      </c>
      <c r="E24" s="2" t="s">
        <v>775</v>
      </c>
      <c r="F24" s="2" t="s">
        <v>790</v>
      </c>
      <c r="G24" s="2" t="s">
        <v>756</v>
      </c>
      <c r="H24" s="2" t="s">
        <v>764</v>
      </c>
      <c r="I24" s="2" t="s">
        <v>771</v>
      </c>
      <c r="J24" s="2" t="s">
        <v>113</v>
      </c>
      <c r="K24" s="2" t="s">
        <v>825</v>
      </c>
      <c r="L24" s="2" t="s">
        <v>767</v>
      </c>
      <c r="M24" s="2" t="s">
        <v>773</v>
      </c>
      <c r="N24" s="2">
        <v>1573.84</v>
      </c>
      <c r="O24" s="2">
        <v>4</v>
      </c>
      <c r="P24" s="2">
        <v>0.2</v>
      </c>
      <c r="Q24" s="2">
        <v>44.51</v>
      </c>
    </row>
    <row r="25" spans="1:17" x14ac:dyDescent="0.35">
      <c r="A25" s="2" t="s">
        <v>826</v>
      </c>
      <c r="B25" s="17">
        <v>45865</v>
      </c>
      <c r="C25" s="17">
        <v>45879</v>
      </c>
      <c r="D25" s="2" t="s">
        <v>782</v>
      </c>
      <c r="E25" s="2" t="s">
        <v>779</v>
      </c>
      <c r="F25" s="2" t="s">
        <v>755</v>
      </c>
      <c r="G25" s="2" t="s">
        <v>756</v>
      </c>
      <c r="H25" s="2" t="s">
        <v>764</v>
      </c>
      <c r="I25" s="2" t="s">
        <v>771</v>
      </c>
      <c r="J25" s="2" t="s">
        <v>765</v>
      </c>
      <c r="K25" s="2" t="s">
        <v>827</v>
      </c>
      <c r="L25" s="2" t="s">
        <v>759</v>
      </c>
      <c r="M25" s="2" t="s">
        <v>777</v>
      </c>
      <c r="N25" s="2">
        <v>1660.52</v>
      </c>
      <c r="O25" s="2">
        <v>8</v>
      </c>
      <c r="P25" s="2">
        <v>0</v>
      </c>
      <c r="Q25" s="2">
        <v>-231.5</v>
      </c>
    </row>
    <row r="26" spans="1:17" x14ac:dyDescent="0.35">
      <c r="A26" s="2" t="s">
        <v>828</v>
      </c>
      <c r="B26" s="17">
        <v>45903</v>
      </c>
      <c r="C26" s="17">
        <v>45749</v>
      </c>
      <c r="D26" s="2" t="s">
        <v>782</v>
      </c>
      <c r="E26" s="2" t="s">
        <v>783</v>
      </c>
      <c r="F26" s="2" t="s">
        <v>763</v>
      </c>
      <c r="G26" s="2" t="s">
        <v>756</v>
      </c>
      <c r="H26" s="2" t="s">
        <v>138</v>
      </c>
      <c r="I26" s="2" t="s">
        <v>771</v>
      </c>
      <c r="J26" s="2" t="s">
        <v>765</v>
      </c>
      <c r="K26" s="2" t="s">
        <v>758</v>
      </c>
      <c r="L26" s="2" t="s">
        <v>759</v>
      </c>
      <c r="M26" s="2" t="s">
        <v>792</v>
      </c>
      <c r="N26" s="2">
        <v>2288.38</v>
      </c>
      <c r="O26" s="2">
        <v>4</v>
      </c>
      <c r="P26" s="2">
        <v>0.4</v>
      </c>
      <c r="Q26" s="2">
        <v>-559.48</v>
      </c>
    </row>
    <row r="27" spans="1:17" x14ac:dyDescent="0.35">
      <c r="A27" s="2" t="s">
        <v>829</v>
      </c>
      <c r="B27" s="17">
        <v>45926</v>
      </c>
      <c r="C27" s="17">
        <v>45664</v>
      </c>
      <c r="D27" s="2" t="s">
        <v>769</v>
      </c>
      <c r="E27" s="2" t="s">
        <v>786</v>
      </c>
      <c r="F27" s="2" t="s">
        <v>763</v>
      </c>
      <c r="G27" s="2" t="s">
        <v>756</v>
      </c>
      <c r="H27" s="2" t="s">
        <v>138</v>
      </c>
      <c r="I27" s="2" t="s">
        <v>771</v>
      </c>
      <c r="J27" s="2" t="s">
        <v>115</v>
      </c>
      <c r="K27" s="2" t="s">
        <v>766</v>
      </c>
      <c r="L27" s="2" t="s">
        <v>799</v>
      </c>
      <c r="M27" s="2" t="s">
        <v>830</v>
      </c>
      <c r="N27" s="2">
        <v>977.16</v>
      </c>
      <c r="O27" s="2">
        <v>3</v>
      </c>
      <c r="P27" s="2">
        <v>0.3</v>
      </c>
      <c r="Q27" s="2">
        <v>-50.61</v>
      </c>
    </row>
    <row r="28" spans="1:17" x14ac:dyDescent="0.35">
      <c r="A28" s="2" t="s">
        <v>831</v>
      </c>
      <c r="B28" s="17">
        <v>45850</v>
      </c>
      <c r="C28" s="17">
        <v>45897</v>
      </c>
      <c r="D28" s="2" t="s">
        <v>769</v>
      </c>
      <c r="E28" s="2" t="s">
        <v>789</v>
      </c>
      <c r="F28" s="2" t="s">
        <v>755</v>
      </c>
      <c r="G28" s="2" t="s">
        <v>756</v>
      </c>
      <c r="H28" s="2" t="s">
        <v>764</v>
      </c>
      <c r="I28" s="2" t="s">
        <v>757</v>
      </c>
      <c r="J28" s="2" t="s">
        <v>765</v>
      </c>
      <c r="K28" s="2" t="s">
        <v>772</v>
      </c>
      <c r="L28" s="2" t="s">
        <v>759</v>
      </c>
      <c r="M28" s="2" t="s">
        <v>792</v>
      </c>
      <c r="N28" s="2">
        <v>454.79</v>
      </c>
      <c r="O28" s="2">
        <v>6</v>
      </c>
      <c r="P28" s="2">
        <v>0.3</v>
      </c>
      <c r="Q28" s="2">
        <v>-46.98</v>
      </c>
    </row>
    <row r="29" spans="1:17" x14ac:dyDescent="0.35">
      <c r="A29" s="2" t="s">
        <v>832</v>
      </c>
      <c r="B29" s="17">
        <v>45672</v>
      </c>
      <c r="C29" s="17">
        <v>45825</v>
      </c>
      <c r="D29" s="2" t="s">
        <v>753</v>
      </c>
      <c r="E29" s="2" t="s">
        <v>794</v>
      </c>
      <c r="F29" s="2" t="s">
        <v>763</v>
      </c>
      <c r="G29" s="2" t="s">
        <v>756</v>
      </c>
      <c r="H29" s="2" t="s">
        <v>138</v>
      </c>
      <c r="I29" s="2" t="s">
        <v>757</v>
      </c>
      <c r="J29" s="2" t="s">
        <v>116</v>
      </c>
      <c r="K29" s="2" t="s">
        <v>776</v>
      </c>
      <c r="L29" s="2" t="s">
        <v>767</v>
      </c>
      <c r="M29" s="2" t="s">
        <v>823</v>
      </c>
      <c r="N29" s="2">
        <v>1710.45</v>
      </c>
      <c r="O29" s="2">
        <v>5</v>
      </c>
      <c r="P29" s="2">
        <v>0.15</v>
      </c>
      <c r="Q29" s="2">
        <v>-421.97</v>
      </c>
    </row>
    <row r="30" spans="1:17" x14ac:dyDescent="0.35">
      <c r="A30" s="2" t="s">
        <v>833</v>
      </c>
      <c r="B30" s="17">
        <v>45881</v>
      </c>
      <c r="C30" s="17">
        <v>45896</v>
      </c>
      <c r="D30" s="2" t="s">
        <v>753</v>
      </c>
      <c r="E30" s="2" t="s">
        <v>797</v>
      </c>
      <c r="F30" s="2" t="s">
        <v>790</v>
      </c>
      <c r="G30" s="2" t="s">
        <v>756</v>
      </c>
      <c r="H30" s="2" t="s">
        <v>494</v>
      </c>
      <c r="I30" s="2" t="s">
        <v>757</v>
      </c>
      <c r="J30" s="2" t="s">
        <v>115</v>
      </c>
      <c r="K30" s="2" t="s">
        <v>780</v>
      </c>
      <c r="L30" s="2" t="s">
        <v>767</v>
      </c>
      <c r="M30" s="2" t="s">
        <v>420</v>
      </c>
      <c r="N30" s="2">
        <v>409.77</v>
      </c>
      <c r="O30" s="2">
        <v>5</v>
      </c>
      <c r="P30" s="2">
        <v>0.2</v>
      </c>
      <c r="Q30" s="2">
        <v>1.45</v>
      </c>
    </row>
    <row r="31" spans="1:17" x14ac:dyDescent="0.35">
      <c r="A31" s="2" t="s">
        <v>834</v>
      </c>
      <c r="B31" s="17">
        <v>45846</v>
      </c>
      <c r="C31" s="17">
        <v>45670</v>
      </c>
      <c r="D31" s="2" t="s">
        <v>769</v>
      </c>
      <c r="E31" s="2" t="s">
        <v>802</v>
      </c>
      <c r="F31" s="2" t="s">
        <v>790</v>
      </c>
      <c r="G31" s="2" t="s">
        <v>756</v>
      </c>
      <c r="H31" s="2" t="s">
        <v>139</v>
      </c>
      <c r="I31" s="2" t="s">
        <v>771</v>
      </c>
      <c r="J31" s="2" t="s">
        <v>115</v>
      </c>
      <c r="K31" s="2" t="s">
        <v>784</v>
      </c>
      <c r="L31" s="2" t="s">
        <v>759</v>
      </c>
      <c r="M31" s="2" t="s">
        <v>777</v>
      </c>
      <c r="N31" s="2">
        <v>2438.4299999999998</v>
      </c>
      <c r="O31" s="2">
        <v>8</v>
      </c>
      <c r="P31" s="2">
        <v>0.1</v>
      </c>
      <c r="Q31" s="2">
        <v>-677.04</v>
      </c>
    </row>
    <row r="32" spans="1:17" x14ac:dyDescent="0.35">
      <c r="A32" s="2" t="s">
        <v>835</v>
      </c>
      <c r="B32" s="17">
        <v>45816</v>
      </c>
      <c r="C32" s="17">
        <v>45758</v>
      </c>
      <c r="D32" s="2" t="s">
        <v>782</v>
      </c>
      <c r="E32" s="2" t="s">
        <v>806</v>
      </c>
      <c r="F32" s="2" t="s">
        <v>763</v>
      </c>
      <c r="G32" s="2" t="s">
        <v>756</v>
      </c>
      <c r="H32" s="2" t="s">
        <v>139</v>
      </c>
      <c r="I32" s="2" t="s">
        <v>771</v>
      </c>
      <c r="J32" s="2" t="s">
        <v>116</v>
      </c>
      <c r="K32" s="2" t="s">
        <v>787</v>
      </c>
      <c r="L32" s="2" t="s">
        <v>759</v>
      </c>
      <c r="M32" s="2" t="s">
        <v>777</v>
      </c>
      <c r="N32" s="2">
        <v>2355.06</v>
      </c>
      <c r="O32" s="2">
        <v>3</v>
      </c>
      <c r="P32" s="2">
        <v>0.1</v>
      </c>
      <c r="Q32" s="2">
        <v>-561.83000000000004</v>
      </c>
    </row>
    <row r="33" spans="1:17" x14ac:dyDescent="0.35">
      <c r="A33" s="2" t="s">
        <v>836</v>
      </c>
      <c r="B33" s="17">
        <v>45871</v>
      </c>
      <c r="C33" s="17">
        <v>45867</v>
      </c>
      <c r="D33" s="2" t="s">
        <v>753</v>
      </c>
      <c r="E33" s="2" t="s">
        <v>809</v>
      </c>
      <c r="F33" s="2" t="s">
        <v>755</v>
      </c>
      <c r="G33" s="2" t="s">
        <v>756</v>
      </c>
      <c r="H33" s="2" t="s">
        <v>138</v>
      </c>
      <c r="I33" s="2" t="s">
        <v>771</v>
      </c>
      <c r="J33" s="2" t="s">
        <v>113</v>
      </c>
      <c r="K33" s="2" t="s">
        <v>791</v>
      </c>
      <c r="L33" s="2" t="s">
        <v>767</v>
      </c>
      <c r="M33" s="2" t="s">
        <v>420</v>
      </c>
      <c r="N33" s="2">
        <v>1332.95</v>
      </c>
      <c r="O33" s="2">
        <v>2</v>
      </c>
      <c r="P33" s="2">
        <v>0</v>
      </c>
      <c r="Q33" s="2">
        <v>-132.47</v>
      </c>
    </row>
    <row r="34" spans="1:17" x14ac:dyDescent="0.35">
      <c r="A34" s="2" t="s">
        <v>837</v>
      </c>
      <c r="B34" s="17">
        <v>45754</v>
      </c>
      <c r="C34" s="17">
        <v>45738</v>
      </c>
      <c r="D34" s="2" t="s">
        <v>769</v>
      </c>
      <c r="E34" s="2" t="s">
        <v>812</v>
      </c>
      <c r="F34" s="2" t="s">
        <v>763</v>
      </c>
      <c r="G34" s="2" t="s">
        <v>756</v>
      </c>
      <c r="H34" s="2" t="s">
        <v>764</v>
      </c>
      <c r="I34" s="2" t="s">
        <v>771</v>
      </c>
      <c r="J34" s="2" t="s">
        <v>765</v>
      </c>
      <c r="K34" s="2" t="s">
        <v>795</v>
      </c>
      <c r="L34" s="2" t="s">
        <v>759</v>
      </c>
      <c r="M34" s="2" t="s">
        <v>760</v>
      </c>
      <c r="N34" s="2">
        <v>2251.1999999999998</v>
      </c>
      <c r="O34" s="2">
        <v>3</v>
      </c>
      <c r="P34" s="2">
        <v>0.4</v>
      </c>
      <c r="Q34" s="2">
        <v>771.99</v>
      </c>
    </row>
    <row r="35" spans="1:17" x14ac:dyDescent="0.35">
      <c r="A35" s="2" t="s">
        <v>838</v>
      </c>
      <c r="B35" s="17">
        <v>45662</v>
      </c>
      <c r="C35" s="17">
        <v>45697</v>
      </c>
      <c r="D35" s="2" t="s">
        <v>753</v>
      </c>
      <c r="E35" s="2" t="s">
        <v>815</v>
      </c>
      <c r="F35" s="2" t="s">
        <v>755</v>
      </c>
      <c r="G35" s="2" t="s">
        <v>756</v>
      </c>
      <c r="H35" s="2" t="s">
        <v>138</v>
      </c>
      <c r="I35" s="2" t="s">
        <v>757</v>
      </c>
      <c r="J35" s="2" t="s">
        <v>116</v>
      </c>
      <c r="K35" s="2" t="s">
        <v>798</v>
      </c>
      <c r="L35" s="2" t="s">
        <v>799</v>
      </c>
      <c r="M35" s="2" t="s">
        <v>804</v>
      </c>
      <c r="N35" s="2">
        <v>895.75</v>
      </c>
      <c r="O35" s="2">
        <v>6</v>
      </c>
      <c r="P35" s="2">
        <v>0.15</v>
      </c>
      <c r="Q35" s="2">
        <v>103.89</v>
      </c>
    </row>
    <row r="36" spans="1:17" x14ac:dyDescent="0.35">
      <c r="A36" s="2" t="s">
        <v>839</v>
      </c>
      <c r="B36" s="17">
        <v>45798</v>
      </c>
      <c r="C36" s="17">
        <v>45865</v>
      </c>
      <c r="D36" s="2" t="s">
        <v>769</v>
      </c>
      <c r="E36" s="2" t="s">
        <v>754</v>
      </c>
      <c r="F36" s="2" t="s">
        <v>755</v>
      </c>
      <c r="G36" s="2" t="s">
        <v>756</v>
      </c>
      <c r="H36" s="2" t="s">
        <v>139</v>
      </c>
      <c r="I36" s="2" t="s">
        <v>757</v>
      </c>
      <c r="J36" s="2" t="s">
        <v>765</v>
      </c>
      <c r="K36" s="2" t="s">
        <v>803</v>
      </c>
      <c r="L36" s="2" t="s">
        <v>799</v>
      </c>
      <c r="M36" s="2" t="s">
        <v>830</v>
      </c>
      <c r="N36" s="2">
        <v>165.73</v>
      </c>
      <c r="O36" s="2">
        <v>5</v>
      </c>
      <c r="P36" s="2">
        <v>0</v>
      </c>
      <c r="Q36" s="2">
        <v>13.33</v>
      </c>
    </row>
    <row r="37" spans="1:17" x14ac:dyDescent="0.35">
      <c r="A37" s="2" t="s">
        <v>840</v>
      </c>
      <c r="B37" s="17">
        <v>45874</v>
      </c>
      <c r="C37" s="17">
        <v>45701</v>
      </c>
      <c r="D37" s="2" t="s">
        <v>782</v>
      </c>
      <c r="E37" s="2" t="s">
        <v>762</v>
      </c>
      <c r="F37" s="2" t="s">
        <v>755</v>
      </c>
      <c r="G37" s="2" t="s">
        <v>756</v>
      </c>
      <c r="H37" s="2" t="s">
        <v>138</v>
      </c>
      <c r="I37" s="2" t="s">
        <v>757</v>
      </c>
      <c r="J37" s="2" t="s">
        <v>765</v>
      </c>
      <c r="K37" s="2" t="s">
        <v>807</v>
      </c>
      <c r="L37" s="2" t="s">
        <v>799</v>
      </c>
      <c r="M37" s="2" t="s">
        <v>804</v>
      </c>
      <c r="N37" s="2">
        <v>1733.34</v>
      </c>
      <c r="O37" s="2">
        <v>3</v>
      </c>
      <c r="P37" s="2">
        <v>0.4</v>
      </c>
      <c r="Q37" s="2">
        <v>554.85</v>
      </c>
    </row>
    <row r="38" spans="1:17" x14ac:dyDescent="0.35">
      <c r="A38" s="2" t="s">
        <v>841</v>
      </c>
      <c r="B38" s="17">
        <v>45884</v>
      </c>
      <c r="C38" s="17">
        <v>45670</v>
      </c>
      <c r="D38" s="2" t="s">
        <v>782</v>
      </c>
      <c r="E38" s="2" t="s">
        <v>770</v>
      </c>
      <c r="F38" s="2" t="s">
        <v>790</v>
      </c>
      <c r="G38" s="2" t="s">
        <v>756</v>
      </c>
      <c r="H38" s="2" t="s">
        <v>139</v>
      </c>
      <c r="I38" s="2" t="s">
        <v>757</v>
      </c>
      <c r="J38" s="2" t="s">
        <v>113</v>
      </c>
      <c r="K38" s="2" t="s">
        <v>810</v>
      </c>
      <c r="L38" s="2" t="s">
        <v>759</v>
      </c>
      <c r="M38" s="2" t="s">
        <v>792</v>
      </c>
      <c r="N38" s="2">
        <v>933.87</v>
      </c>
      <c r="O38" s="2">
        <v>5</v>
      </c>
      <c r="P38" s="2">
        <v>0.2</v>
      </c>
      <c r="Q38" s="2">
        <v>-181.82</v>
      </c>
    </row>
    <row r="39" spans="1:17" x14ac:dyDescent="0.35">
      <c r="A39" s="2" t="s">
        <v>842</v>
      </c>
      <c r="B39" s="17">
        <v>45663</v>
      </c>
      <c r="C39" s="17">
        <v>45841</v>
      </c>
      <c r="D39" s="2" t="s">
        <v>769</v>
      </c>
      <c r="E39" s="2" t="s">
        <v>775</v>
      </c>
      <c r="F39" s="2" t="s">
        <v>790</v>
      </c>
      <c r="G39" s="2" t="s">
        <v>756</v>
      </c>
      <c r="H39" s="2" t="s">
        <v>494</v>
      </c>
      <c r="I39" s="2" t="s">
        <v>757</v>
      </c>
      <c r="J39" s="2" t="s">
        <v>115</v>
      </c>
      <c r="K39" s="2" t="s">
        <v>813</v>
      </c>
      <c r="L39" s="2" t="s">
        <v>799</v>
      </c>
      <c r="M39" s="2" t="s">
        <v>804</v>
      </c>
      <c r="N39" s="2">
        <v>2355.75</v>
      </c>
      <c r="O39" s="2">
        <v>3</v>
      </c>
      <c r="P39" s="2">
        <v>0.4</v>
      </c>
      <c r="Q39" s="2">
        <v>508.88</v>
      </c>
    </row>
    <row r="40" spans="1:17" x14ac:dyDescent="0.35">
      <c r="A40" s="2" t="s">
        <v>843</v>
      </c>
      <c r="B40" s="17">
        <v>45921</v>
      </c>
      <c r="C40" s="17">
        <v>45945</v>
      </c>
      <c r="D40" s="2" t="s">
        <v>782</v>
      </c>
      <c r="E40" s="2" t="s">
        <v>779</v>
      </c>
      <c r="F40" s="2" t="s">
        <v>763</v>
      </c>
      <c r="G40" s="2" t="s">
        <v>756</v>
      </c>
      <c r="H40" s="2" t="s">
        <v>494</v>
      </c>
      <c r="I40" s="2" t="s">
        <v>757</v>
      </c>
      <c r="J40" s="2" t="s">
        <v>116</v>
      </c>
      <c r="K40" s="2" t="s">
        <v>816</v>
      </c>
      <c r="L40" s="2" t="s">
        <v>759</v>
      </c>
      <c r="M40" s="2" t="s">
        <v>792</v>
      </c>
      <c r="N40" s="2">
        <v>1261.25</v>
      </c>
      <c r="O40" s="2">
        <v>7</v>
      </c>
      <c r="P40" s="2">
        <v>0.2</v>
      </c>
      <c r="Q40" s="2">
        <v>-208.81</v>
      </c>
    </row>
    <row r="41" spans="1:17" x14ac:dyDescent="0.35">
      <c r="A41" s="2" t="s">
        <v>844</v>
      </c>
      <c r="B41" s="17">
        <v>45843</v>
      </c>
      <c r="C41" s="17">
        <v>45954</v>
      </c>
      <c r="D41" s="2" t="s">
        <v>769</v>
      </c>
      <c r="E41" s="2" t="s">
        <v>783</v>
      </c>
      <c r="F41" s="2" t="s">
        <v>755</v>
      </c>
      <c r="G41" s="2" t="s">
        <v>756</v>
      </c>
      <c r="H41" s="2" t="s">
        <v>764</v>
      </c>
      <c r="I41" s="2" t="s">
        <v>757</v>
      </c>
      <c r="J41" s="2" t="s">
        <v>116</v>
      </c>
      <c r="K41" s="2" t="s">
        <v>818</v>
      </c>
      <c r="L41" s="2" t="s">
        <v>767</v>
      </c>
      <c r="M41" s="2" t="s">
        <v>773</v>
      </c>
      <c r="N41" s="2">
        <v>892.69</v>
      </c>
      <c r="O41" s="2">
        <v>2</v>
      </c>
      <c r="P41" s="2">
        <v>0.4</v>
      </c>
      <c r="Q41" s="2">
        <v>205.08</v>
      </c>
    </row>
    <row r="42" spans="1:17" x14ac:dyDescent="0.35">
      <c r="A42" s="2" t="s">
        <v>845</v>
      </c>
      <c r="B42" s="17">
        <v>45740</v>
      </c>
      <c r="C42" s="17">
        <v>45783</v>
      </c>
      <c r="D42" s="2" t="s">
        <v>753</v>
      </c>
      <c r="E42" s="2" t="s">
        <v>786</v>
      </c>
      <c r="F42" s="2" t="s">
        <v>763</v>
      </c>
      <c r="G42" s="2" t="s">
        <v>756</v>
      </c>
      <c r="H42" s="2" t="s">
        <v>764</v>
      </c>
      <c r="I42" s="2" t="s">
        <v>771</v>
      </c>
      <c r="J42" s="2" t="s">
        <v>116</v>
      </c>
      <c r="K42" s="2" t="s">
        <v>820</v>
      </c>
      <c r="L42" s="2" t="s">
        <v>759</v>
      </c>
      <c r="M42" s="2" t="s">
        <v>792</v>
      </c>
      <c r="N42" s="2">
        <v>1317.12</v>
      </c>
      <c r="O42" s="2">
        <v>4</v>
      </c>
      <c r="P42" s="2">
        <v>0.3</v>
      </c>
      <c r="Q42" s="2">
        <v>-141.63999999999999</v>
      </c>
    </row>
    <row r="43" spans="1:17" x14ac:dyDescent="0.35">
      <c r="A43" s="2" t="s">
        <v>846</v>
      </c>
      <c r="B43" s="17">
        <v>45902</v>
      </c>
      <c r="C43" s="17">
        <v>45796</v>
      </c>
      <c r="D43" s="2" t="s">
        <v>769</v>
      </c>
      <c r="E43" s="2" t="s">
        <v>789</v>
      </c>
      <c r="F43" s="2" t="s">
        <v>790</v>
      </c>
      <c r="G43" s="2" t="s">
        <v>756</v>
      </c>
      <c r="H43" s="2" t="s">
        <v>764</v>
      </c>
      <c r="I43" s="2" t="s">
        <v>757</v>
      </c>
      <c r="J43" s="2" t="s">
        <v>113</v>
      </c>
      <c r="K43" s="2" t="s">
        <v>822</v>
      </c>
      <c r="L43" s="2" t="s">
        <v>799</v>
      </c>
      <c r="M43" s="2" t="s">
        <v>804</v>
      </c>
      <c r="N43" s="2">
        <v>1086.72</v>
      </c>
      <c r="O43" s="2">
        <v>6</v>
      </c>
      <c r="P43" s="2">
        <v>0.2</v>
      </c>
      <c r="Q43" s="2">
        <v>-169.02</v>
      </c>
    </row>
    <row r="44" spans="1:17" x14ac:dyDescent="0.35">
      <c r="A44" s="2" t="s">
        <v>847</v>
      </c>
      <c r="B44" s="17">
        <v>45770</v>
      </c>
      <c r="C44" s="17">
        <v>45742</v>
      </c>
      <c r="D44" s="2" t="s">
        <v>782</v>
      </c>
      <c r="E44" s="2" t="s">
        <v>794</v>
      </c>
      <c r="F44" s="2" t="s">
        <v>755</v>
      </c>
      <c r="G44" s="2" t="s">
        <v>756</v>
      </c>
      <c r="H44" s="2" t="s">
        <v>764</v>
      </c>
      <c r="I44" s="2" t="s">
        <v>757</v>
      </c>
      <c r="J44" s="2" t="s">
        <v>113</v>
      </c>
      <c r="K44" s="2" t="s">
        <v>825</v>
      </c>
      <c r="L44" s="2" t="s">
        <v>767</v>
      </c>
      <c r="M44" s="2" t="s">
        <v>420</v>
      </c>
      <c r="N44" s="2">
        <v>2010.83</v>
      </c>
      <c r="O44" s="2">
        <v>5</v>
      </c>
      <c r="P44" s="2">
        <v>0.4</v>
      </c>
      <c r="Q44" s="2">
        <v>-421.1</v>
      </c>
    </row>
    <row r="45" spans="1:17" x14ac:dyDescent="0.35">
      <c r="A45" s="2" t="s">
        <v>848</v>
      </c>
      <c r="B45" s="17">
        <v>45941</v>
      </c>
      <c r="C45" s="17">
        <v>45908</v>
      </c>
      <c r="D45" s="2" t="s">
        <v>753</v>
      </c>
      <c r="E45" s="2" t="s">
        <v>797</v>
      </c>
      <c r="F45" s="2" t="s">
        <v>755</v>
      </c>
      <c r="G45" s="2" t="s">
        <v>756</v>
      </c>
      <c r="H45" s="2" t="s">
        <v>139</v>
      </c>
      <c r="I45" s="2" t="s">
        <v>771</v>
      </c>
      <c r="J45" s="2" t="s">
        <v>116</v>
      </c>
      <c r="K45" s="2" t="s">
        <v>827</v>
      </c>
      <c r="L45" s="2" t="s">
        <v>767</v>
      </c>
      <c r="M45" s="2" t="s">
        <v>420</v>
      </c>
      <c r="N45" s="2">
        <v>508.38</v>
      </c>
      <c r="O45" s="2">
        <v>8</v>
      </c>
      <c r="P45" s="2">
        <v>0.1</v>
      </c>
      <c r="Q45" s="2">
        <v>134.93</v>
      </c>
    </row>
    <row r="48" spans="1:17" x14ac:dyDescent="0.35">
      <c r="A48" s="24" t="s">
        <v>849</v>
      </c>
      <c r="B48" s="24"/>
      <c r="C48" s="24"/>
      <c r="D48" s="24"/>
      <c r="E48" s="24"/>
      <c r="F48" s="24"/>
    </row>
    <row r="49" spans="1:6" ht="27.75" customHeight="1" x14ac:dyDescent="0.35">
      <c r="A49" s="25" t="s">
        <v>850</v>
      </c>
      <c r="B49" s="25"/>
      <c r="C49" s="25"/>
      <c r="D49" s="25"/>
      <c r="E49" s="25"/>
      <c r="F49" s="25"/>
    </row>
    <row r="51" spans="1:6" x14ac:dyDescent="0.35">
      <c r="A51" s="24" t="s">
        <v>851</v>
      </c>
      <c r="B51" s="24"/>
      <c r="C51" s="24"/>
      <c r="D51" s="24"/>
      <c r="E51" s="24"/>
      <c r="F51" s="24"/>
    </row>
    <row r="52" spans="1:6" x14ac:dyDescent="0.35">
      <c r="A52" s="1" t="s">
        <v>107</v>
      </c>
      <c r="B52" s="1" t="s">
        <v>633</v>
      </c>
      <c r="C52" s="1" t="s">
        <v>852</v>
      </c>
    </row>
    <row r="53" spans="1:6" x14ac:dyDescent="0.35">
      <c r="A53" s="4" t="s">
        <v>113</v>
      </c>
      <c r="B53" s="4">
        <f>SUMIF($J$6:$J$46,A53,$N$6:$N$46)</f>
        <v>12539.13</v>
      </c>
      <c r="C53" s="4">
        <f>SUMIF($J$6:$J$46,A53,$Q$6:$Q$46)</f>
        <v>-1209.77</v>
      </c>
    </row>
    <row r="54" spans="1:6" x14ac:dyDescent="0.35">
      <c r="A54" s="4" t="s">
        <v>116</v>
      </c>
      <c r="B54" s="4">
        <f>SUMIF($J$6:$J$46,A54,$N$6:$N$46)</f>
        <v>10855.22</v>
      </c>
      <c r="C54" s="4">
        <f>SUMIF($J$6:$J$46,A54,$Q$6:$Q$46)</f>
        <v>-401.41</v>
      </c>
    </row>
    <row r="55" spans="1:6" x14ac:dyDescent="0.35">
      <c r="A55" s="4" t="s">
        <v>765</v>
      </c>
      <c r="B55" s="4">
        <f>SUMIF($J$6:$J$46,A55,$N$6:$N$46)</f>
        <v>13692.34</v>
      </c>
      <c r="C55" s="4">
        <f>SUMIF($J$6:$J$46,A55,$Q$6:$Q$46)</f>
        <v>590.06999999999994</v>
      </c>
    </row>
    <row r="56" spans="1:6" x14ac:dyDescent="0.35">
      <c r="A56" s="4" t="s">
        <v>115</v>
      </c>
      <c r="B56" s="4">
        <f>SUMIF($J$6:$J$46,A56,$N$6:$N$46)</f>
        <v>18209.240000000002</v>
      </c>
      <c r="C56" s="4">
        <f>SUMIF($J$6:$J$46,A56,$Q$6:$Q$46)</f>
        <v>-172.84000000000003</v>
      </c>
    </row>
    <row r="58" spans="1:6" x14ac:dyDescent="0.35">
      <c r="A58" s="4" t="s">
        <v>853</v>
      </c>
      <c r="B58" s="4" t="str">
        <f>INDEX(A53:A57,MATCH(MAX(C53:C57),C53:C57,0))</f>
        <v>Central</v>
      </c>
    </row>
    <row r="61" spans="1:6" x14ac:dyDescent="0.35">
      <c r="A61" s="24" t="s">
        <v>854</v>
      </c>
      <c r="B61" s="24"/>
      <c r="C61" s="24"/>
      <c r="D61" s="24"/>
      <c r="E61" s="24"/>
      <c r="F61" s="24"/>
    </row>
    <row r="63" spans="1:6" x14ac:dyDescent="0.35">
      <c r="A63" s="24" t="s">
        <v>855</v>
      </c>
      <c r="B63" s="24"/>
      <c r="C63" s="24"/>
      <c r="D63" s="24"/>
      <c r="E63" s="24"/>
      <c r="F63" s="24"/>
    </row>
    <row r="64" spans="1:6" x14ac:dyDescent="0.35">
      <c r="A64" s="18" t="s">
        <v>856</v>
      </c>
      <c r="C64" s="19" t="s">
        <v>857</v>
      </c>
    </row>
    <row r="65" spans="1:3" ht="18" x14ac:dyDescent="0.4">
      <c r="A65" s="20">
        <f>SUM($N$6:$N$46)</f>
        <v>55295.93</v>
      </c>
      <c r="C65" s="20">
        <f>SUM($Q$6:$Q$46)</f>
        <v>-1193.9499999999996</v>
      </c>
    </row>
    <row r="67" spans="1:3" x14ac:dyDescent="0.35">
      <c r="A67" s="1" t="s">
        <v>415</v>
      </c>
      <c r="B67" s="1" t="s">
        <v>633</v>
      </c>
    </row>
    <row r="68" spans="1:3" x14ac:dyDescent="0.35">
      <c r="A68" s="4" t="s">
        <v>759</v>
      </c>
      <c r="B68" s="4">
        <f>SUMIF($L$6:$L$46,A68,$N$6:$N$46)</f>
        <v>26058.910000000003</v>
      </c>
    </row>
    <row r="69" spans="1:3" x14ac:dyDescent="0.35">
      <c r="A69" s="4" t="s">
        <v>799</v>
      </c>
      <c r="B69" s="4">
        <f>SUMIF($L$6:$L$46,A69,$N$6:$N$46)</f>
        <v>10351.359999999999</v>
      </c>
    </row>
    <row r="70" spans="1:3" x14ac:dyDescent="0.35">
      <c r="A70" s="4" t="s">
        <v>767</v>
      </c>
      <c r="B70" s="4">
        <f>SUMIF($L$6:$L$46,A70,$N$6:$N$46)</f>
        <v>18885.660000000003</v>
      </c>
    </row>
    <row r="85" spans="1:6" x14ac:dyDescent="0.35">
      <c r="A85" s="24" t="s">
        <v>858</v>
      </c>
      <c r="B85" s="24"/>
      <c r="C85" s="24"/>
      <c r="D85" s="24"/>
      <c r="E85" s="24"/>
      <c r="F85" s="24"/>
    </row>
    <row r="86" spans="1:6" ht="28" x14ac:dyDescent="0.35">
      <c r="A86" s="1" t="s">
        <v>749</v>
      </c>
      <c r="B86" s="1" t="s">
        <v>852</v>
      </c>
    </row>
    <row r="87" spans="1:6" x14ac:dyDescent="0.35">
      <c r="A87" s="4" t="s">
        <v>420</v>
      </c>
      <c r="B87" s="4">
        <f t="shared" ref="B87:B95" si="0">SUMIF($M$6:$M$46,A87,$Q$6:$Q$46)</f>
        <v>-295.20999999999998</v>
      </c>
    </row>
    <row r="88" spans="1:6" x14ac:dyDescent="0.35">
      <c r="A88" s="4" t="s">
        <v>804</v>
      </c>
      <c r="B88" s="4">
        <f t="shared" si="0"/>
        <v>1699.88</v>
      </c>
    </row>
    <row r="89" spans="1:6" x14ac:dyDescent="0.35">
      <c r="A89" s="4" t="s">
        <v>792</v>
      </c>
      <c r="B89" s="4">
        <f t="shared" si="0"/>
        <v>-1392.9299999999998</v>
      </c>
    </row>
    <row r="90" spans="1:6" x14ac:dyDescent="0.35">
      <c r="A90" s="4" t="s">
        <v>777</v>
      </c>
      <c r="B90" s="4">
        <f t="shared" si="0"/>
        <v>-888.56000000000006</v>
      </c>
    </row>
    <row r="91" spans="1:6" x14ac:dyDescent="0.35">
      <c r="A91" s="4" t="s">
        <v>823</v>
      </c>
      <c r="B91" s="4">
        <f t="shared" si="0"/>
        <v>-656.03</v>
      </c>
    </row>
    <row r="92" spans="1:6" x14ac:dyDescent="0.35">
      <c r="A92" s="4" t="s">
        <v>830</v>
      </c>
      <c r="B92" s="4">
        <f t="shared" si="0"/>
        <v>-37.28</v>
      </c>
    </row>
    <row r="93" spans="1:6" x14ac:dyDescent="0.35">
      <c r="A93" s="4" t="s">
        <v>773</v>
      </c>
      <c r="B93" s="4">
        <f t="shared" si="0"/>
        <v>-923.14</v>
      </c>
    </row>
    <row r="94" spans="1:6" x14ac:dyDescent="0.35">
      <c r="A94" s="4" t="s">
        <v>800</v>
      </c>
      <c r="B94" s="4">
        <f t="shared" si="0"/>
        <v>-102.27</v>
      </c>
    </row>
    <row r="95" spans="1:6" x14ac:dyDescent="0.35">
      <c r="A95" s="4" t="s">
        <v>760</v>
      </c>
      <c r="B95" s="4">
        <f t="shared" si="0"/>
        <v>1401.5900000000001</v>
      </c>
    </row>
    <row r="97" spans="1:4" ht="27.75" customHeight="1" x14ac:dyDescent="0.35">
      <c r="A97" s="25" t="s">
        <v>859</v>
      </c>
      <c r="B97" s="25"/>
      <c r="C97" s="25"/>
      <c r="D97" s="25"/>
    </row>
  </sheetData>
  <mergeCells count="9">
    <mergeCell ref="A61:F61"/>
    <mergeCell ref="A63:F63"/>
    <mergeCell ref="A85:F85"/>
    <mergeCell ref="A97:D97"/>
    <mergeCell ref="A1:F1"/>
    <mergeCell ref="A2:H2"/>
    <mergeCell ref="A48:F48"/>
    <mergeCell ref="A49:F49"/>
    <mergeCell ref="A51:F51"/>
  </mergeCells>
  <conditionalFormatting sqref="P6:P46">
    <cfRule type="expression" dxfId="0" priority="2">
      <formula>AND($P6&gt;0.2,$Q6&lt;0)</formula>
    </cfRule>
  </conditionalFormatting>
  <pageMargins left="0.75" right="0.75" top="1" bottom="1" header="0.511811023622047" footer="0.511811023622047"/>
  <pageSetup paperSize="9" orientation="portrait"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0"/>
  <sheetViews>
    <sheetView showGridLines="0" topLeftCell="A112" zoomScaleNormal="100" workbookViewId="0">
      <selection activeCell="B118" sqref="B118"/>
    </sheetView>
  </sheetViews>
  <sheetFormatPr defaultColWidth="8.6328125" defaultRowHeight="14.5" x14ac:dyDescent="0.35"/>
  <cols>
    <col min="1" max="1" width="12" customWidth="1"/>
    <col min="2" max="2" width="16" customWidth="1"/>
    <col min="3" max="4" width="12" customWidth="1"/>
    <col min="5" max="5" width="14" customWidth="1"/>
    <col min="6" max="6" width="12" customWidth="1"/>
    <col min="7" max="7" width="10" customWidth="1"/>
    <col min="8" max="8" width="14" customWidth="1"/>
  </cols>
  <sheetData>
    <row r="1" spans="1:8" ht="18" x14ac:dyDescent="0.4">
      <c r="A1" s="26" t="s">
        <v>860</v>
      </c>
      <c r="B1" s="26"/>
      <c r="C1" s="26"/>
      <c r="D1" s="26"/>
      <c r="E1" s="26"/>
      <c r="F1" s="26"/>
    </row>
    <row r="3" spans="1:8" x14ac:dyDescent="0.35">
      <c r="A3" s="24" t="s">
        <v>861</v>
      </c>
      <c r="B3" s="24"/>
      <c r="C3" s="24"/>
      <c r="D3" s="24"/>
      <c r="E3" s="24"/>
      <c r="F3" s="24"/>
    </row>
    <row r="4" spans="1:8" ht="28" x14ac:dyDescent="0.35">
      <c r="A4" s="1" t="s">
        <v>43</v>
      </c>
      <c r="B4" s="1" t="s">
        <v>862</v>
      </c>
      <c r="C4" s="1" t="s">
        <v>315</v>
      </c>
      <c r="D4" s="1" t="s">
        <v>316</v>
      </c>
      <c r="E4" s="1" t="s">
        <v>549</v>
      </c>
      <c r="F4" s="1" t="s">
        <v>133</v>
      </c>
      <c r="G4" s="1" t="s">
        <v>124</v>
      </c>
      <c r="H4" s="1" t="s">
        <v>863</v>
      </c>
    </row>
    <row r="5" spans="1:8" x14ac:dyDescent="0.35">
      <c r="A5" s="2" t="s">
        <v>864</v>
      </c>
      <c r="B5" s="2">
        <v>4</v>
      </c>
      <c r="C5" s="17">
        <v>46213</v>
      </c>
      <c r="D5" s="17">
        <v>46214</v>
      </c>
      <c r="E5" s="2"/>
      <c r="F5" s="2" t="s">
        <v>138</v>
      </c>
      <c r="G5" s="2">
        <v>531</v>
      </c>
      <c r="H5" s="2">
        <v>75</v>
      </c>
    </row>
    <row r="6" spans="1:8" x14ac:dyDescent="0.35">
      <c r="A6" s="2" t="s">
        <v>865</v>
      </c>
      <c r="B6" s="2">
        <v>1</v>
      </c>
      <c r="C6" s="17">
        <v>46195</v>
      </c>
      <c r="D6" s="17">
        <v>46197</v>
      </c>
      <c r="E6" s="2" t="s">
        <v>565</v>
      </c>
      <c r="F6" s="2" t="s">
        <v>139</v>
      </c>
      <c r="G6" s="2">
        <v>834</v>
      </c>
      <c r="H6" s="2">
        <v>55</v>
      </c>
    </row>
    <row r="7" spans="1:8" x14ac:dyDescent="0.35">
      <c r="A7" s="2" t="s">
        <v>866</v>
      </c>
      <c r="B7" s="2">
        <v>5</v>
      </c>
      <c r="C7" s="17">
        <v>46218</v>
      </c>
      <c r="D7" s="17">
        <v>46218</v>
      </c>
      <c r="E7" s="2" t="s">
        <v>565</v>
      </c>
      <c r="F7" s="2" t="s">
        <v>138</v>
      </c>
      <c r="G7" s="2">
        <v>1075</v>
      </c>
      <c r="H7" s="2">
        <v>80</v>
      </c>
    </row>
    <row r="8" spans="1:8" x14ac:dyDescent="0.35">
      <c r="A8" s="2" t="s">
        <v>867</v>
      </c>
      <c r="B8" s="2">
        <v>4</v>
      </c>
      <c r="C8" s="17">
        <v>46184</v>
      </c>
      <c r="D8" s="17">
        <v>46184</v>
      </c>
      <c r="E8" s="2" t="s">
        <v>559</v>
      </c>
      <c r="F8" s="2" t="s">
        <v>139</v>
      </c>
      <c r="G8" s="2">
        <v>377</v>
      </c>
      <c r="H8" s="2">
        <v>28</v>
      </c>
    </row>
    <row r="9" spans="1:8" x14ac:dyDescent="0.35">
      <c r="A9" s="2" t="s">
        <v>868</v>
      </c>
      <c r="B9" s="2">
        <v>5</v>
      </c>
      <c r="C9" s="17">
        <v>46211</v>
      </c>
      <c r="D9" s="17">
        <v>46211</v>
      </c>
      <c r="E9" s="2" t="s">
        <v>565</v>
      </c>
      <c r="F9" s="2" t="s">
        <v>139</v>
      </c>
      <c r="G9" s="2">
        <v>746</v>
      </c>
      <c r="H9" s="2">
        <v>33</v>
      </c>
    </row>
    <row r="10" spans="1:8" x14ac:dyDescent="0.35">
      <c r="A10" s="2" t="s">
        <v>869</v>
      </c>
      <c r="B10" s="2">
        <v>2</v>
      </c>
      <c r="C10" s="17">
        <v>46200</v>
      </c>
      <c r="D10" s="17">
        <v>46200</v>
      </c>
      <c r="E10" s="2"/>
      <c r="F10" s="2" t="s">
        <v>138</v>
      </c>
      <c r="G10" s="2">
        <v>962</v>
      </c>
      <c r="H10" s="2">
        <v>37</v>
      </c>
    </row>
    <row r="11" spans="1:8" x14ac:dyDescent="0.35">
      <c r="A11" s="2" t="s">
        <v>870</v>
      </c>
      <c r="B11" s="2">
        <v>3</v>
      </c>
      <c r="C11" s="17">
        <v>46176</v>
      </c>
      <c r="D11" s="17">
        <v>46176</v>
      </c>
      <c r="E11" s="2" t="s">
        <v>556</v>
      </c>
      <c r="F11" s="2" t="s">
        <v>144</v>
      </c>
      <c r="G11" s="2">
        <v>262</v>
      </c>
      <c r="H11" s="2">
        <v>77</v>
      </c>
    </row>
    <row r="12" spans="1:8" x14ac:dyDescent="0.35">
      <c r="A12" s="2" t="s">
        <v>871</v>
      </c>
      <c r="B12" s="2">
        <v>4</v>
      </c>
      <c r="C12" s="17">
        <v>46205</v>
      </c>
      <c r="D12" s="17">
        <v>46205</v>
      </c>
      <c r="E12" s="2" t="s">
        <v>556</v>
      </c>
      <c r="F12" s="2" t="s">
        <v>138</v>
      </c>
      <c r="G12" s="2">
        <v>1019</v>
      </c>
      <c r="H12" s="2">
        <v>67</v>
      </c>
    </row>
    <row r="13" spans="1:8" x14ac:dyDescent="0.35">
      <c r="A13" s="2" t="s">
        <v>872</v>
      </c>
      <c r="B13" s="2">
        <v>1</v>
      </c>
      <c r="C13" s="17">
        <v>46212</v>
      </c>
      <c r="D13" s="17">
        <v>46212</v>
      </c>
      <c r="E13" s="2" t="s">
        <v>556</v>
      </c>
      <c r="F13" s="2" t="s">
        <v>138</v>
      </c>
      <c r="G13" s="2">
        <v>565</v>
      </c>
      <c r="H13" s="2">
        <v>41</v>
      </c>
    </row>
    <row r="14" spans="1:8" x14ac:dyDescent="0.35">
      <c r="A14" s="2" t="s">
        <v>873</v>
      </c>
      <c r="B14" s="2">
        <v>1</v>
      </c>
      <c r="C14" s="17">
        <v>46179</v>
      </c>
      <c r="D14" s="17">
        <v>46179</v>
      </c>
      <c r="E14" s="2" t="s">
        <v>556</v>
      </c>
      <c r="F14" s="2" t="s">
        <v>139</v>
      </c>
      <c r="G14" s="2">
        <v>1323</v>
      </c>
      <c r="H14" s="2">
        <v>51</v>
      </c>
    </row>
    <row r="15" spans="1:8" x14ac:dyDescent="0.35">
      <c r="A15" s="2" t="s">
        <v>874</v>
      </c>
      <c r="B15" s="2">
        <v>5</v>
      </c>
      <c r="C15" s="17">
        <v>46186</v>
      </c>
      <c r="D15" s="17">
        <v>46187</v>
      </c>
      <c r="E15" s="2" t="s">
        <v>556</v>
      </c>
      <c r="F15" s="2" t="s">
        <v>144</v>
      </c>
      <c r="G15" s="2">
        <v>543</v>
      </c>
      <c r="H15" s="2">
        <v>60</v>
      </c>
    </row>
    <row r="16" spans="1:8" x14ac:dyDescent="0.35">
      <c r="A16" s="2" t="s">
        <v>875</v>
      </c>
      <c r="B16" s="2">
        <v>1</v>
      </c>
      <c r="C16" s="17">
        <v>46218</v>
      </c>
      <c r="D16" s="17">
        <v>46220</v>
      </c>
      <c r="E16" s="2" t="s">
        <v>559</v>
      </c>
      <c r="F16" s="2" t="s">
        <v>138</v>
      </c>
      <c r="G16" s="2">
        <v>1397</v>
      </c>
      <c r="H16" s="2">
        <v>66</v>
      </c>
    </row>
    <row r="17" spans="1:8" x14ac:dyDescent="0.35">
      <c r="A17" s="2" t="s">
        <v>876</v>
      </c>
      <c r="B17" s="2">
        <v>1</v>
      </c>
      <c r="C17" s="17">
        <v>46177</v>
      </c>
      <c r="D17" s="17">
        <v>46178</v>
      </c>
      <c r="E17" s="2" t="s">
        <v>559</v>
      </c>
      <c r="F17" s="2" t="s">
        <v>136</v>
      </c>
      <c r="G17" s="2">
        <v>1328</v>
      </c>
      <c r="H17" s="2">
        <v>22</v>
      </c>
    </row>
    <row r="18" spans="1:8" x14ac:dyDescent="0.35">
      <c r="A18" s="2" t="s">
        <v>877</v>
      </c>
      <c r="B18" s="2">
        <v>1</v>
      </c>
      <c r="C18" s="17">
        <v>46219</v>
      </c>
      <c r="D18" s="17">
        <v>46220</v>
      </c>
      <c r="E18" s="2" t="s">
        <v>559</v>
      </c>
      <c r="F18" s="2" t="s">
        <v>138</v>
      </c>
      <c r="G18" s="2">
        <v>1184</v>
      </c>
      <c r="H18" s="2">
        <v>22</v>
      </c>
    </row>
    <row r="19" spans="1:8" x14ac:dyDescent="0.35">
      <c r="A19" s="2" t="s">
        <v>878</v>
      </c>
      <c r="B19" s="2">
        <v>3</v>
      </c>
      <c r="C19" s="17">
        <v>46217</v>
      </c>
      <c r="D19" s="17">
        <v>46219</v>
      </c>
      <c r="E19" s="2" t="s">
        <v>556</v>
      </c>
      <c r="F19" s="2" t="s">
        <v>136</v>
      </c>
      <c r="G19" s="2">
        <v>375</v>
      </c>
      <c r="H19" s="2">
        <v>75</v>
      </c>
    </row>
    <row r="20" spans="1:8" x14ac:dyDescent="0.35">
      <c r="A20" s="2" t="s">
        <v>879</v>
      </c>
      <c r="B20" s="2">
        <v>5</v>
      </c>
      <c r="C20" s="17">
        <v>46197</v>
      </c>
      <c r="D20" s="17">
        <v>46198</v>
      </c>
      <c r="E20" s="2" t="s">
        <v>559</v>
      </c>
      <c r="F20" s="2" t="s">
        <v>144</v>
      </c>
      <c r="G20" s="2">
        <v>557</v>
      </c>
      <c r="H20" s="2">
        <v>80</v>
      </c>
    </row>
    <row r="21" spans="1:8" x14ac:dyDescent="0.35">
      <c r="A21" s="2" t="s">
        <v>880</v>
      </c>
      <c r="B21" s="2">
        <v>5</v>
      </c>
      <c r="C21" s="17">
        <v>46175</v>
      </c>
      <c r="D21" s="17">
        <v>46176</v>
      </c>
      <c r="E21" s="2"/>
      <c r="F21" s="2" t="s">
        <v>139</v>
      </c>
      <c r="G21" s="2">
        <v>1037</v>
      </c>
      <c r="H21" s="2">
        <v>27</v>
      </c>
    </row>
    <row r="22" spans="1:8" x14ac:dyDescent="0.35">
      <c r="A22" s="2" t="s">
        <v>881</v>
      </c>
      <c r="B22" s="2">
        <v>2</v>
      </c>
      <c r="C22" s="17">
        <v>46188</v>
      </c>
      <c r="D22" s="17">
        <v>46189</v>
      </c>
      <c r="E22" s="2"/>
      <c r="F22" s="2" t="s">
        <v>136</v>
      </c>
      <c r="G22" s="2">
        <v>331</v>
      </c>
      <c r="H22" s="2">
        <v>39</v>
      </c>
    </row>
    <row r="23" spans="1:8" x14ac:dyDescent="0.35">
      <c r="A23" s="2" t="s">
        <v>882</v>
      </c>
      <c r="B23" s="2">
        <v>3</v>
      </c>
      <c r="C23" s="17">
        <v>46180</v>
      </c>
      <c r="D23" s="17">
        <v>46182</v>
      </c>
      <c r="E23" s="2" t="s">
        <v>556</v>
      </c>
      <c r="F23" s="2" t="s">
        <v>139</v>
      </c>
      <c r="G23" s="2">
        <v>931</v>
      </c>
      <c r="H23" s="2">
        <v>69</v>
      </c>
    </row>
    <row r="24" spans="1:8" x14ac:dyDescent="0.35">
      <c r="A24" s="2" t="s">
        <v>883</v>
      </c>
      <c r="B24" s="2">
        <v>5</v>
      </c>
      <c r="C24" s="17">
        <v>46201</v>
      </c>
      <c r="D24" s="17">
        <v>46202</v>
      </c>
      <c r="E24" s="2"/>
      <c r="F24" s="2" t="s">
        <v>138</v>
      </c>
      <c r="G24" s="2">
        <v>1309</v>
      </c>
      <c r="H24" s="2">
        <v>67</v>
      </c>
    </row>
    <row r="25" spans="1:8" x14ac:dyDescent="0.35">
      <c r="A25" s="2" t="s">
        <v>884</v>
      </c>
      <c r="B25" s="2">
        <v>1</v>
      </c>
      <c r="C25" s="17">
        <v>46201</v>
      </c>
      <c r="D25" s="17">
        <v>46201</v>
      </c>
      <c r="E25" s="2" t="s">
        <v>556</v>
      </c>
      <c r="F25" s="2" t="s">
        <v>144</v>
      </c>
      <c r="G25" s="2">
        <v>1194</v>
      </c>
      <c r="H25" s="2">
        <v>43</v>
      </c>
    </row>
    <row r="26" spans="1:8" x14ac:dyDescent="0.35">
      <c r="A26" s="2" t="s">
        <v>885</v>
      </c>
      <c r="B26" s="2">
        <v>5</v>
      </c>
      <c r="C26" s="17">
        <v>46197</v>
      </c>
      <c r="D26" s="17">
        <v>46197</v>
      </c>
      <c r="E26" s="2"/>
      <c r="F26" s="2" t="s">
        <v>138</v>
      </c>
      <c r="G26" s="2">
        <v>680</v>
      </c>
      <c r="H26" s="2">
        <v>21</v>
      </c>
    </row>
    <row r="27" spans="1:8" x14ac:dyDescent="0.35">
      <c r="A27" s="2" t="s">
        <v>886</v>
      </c>
      <c r="B27" s="2">
        <v>1</v>
      </c>
      <c r="C27" s="17">
        <v>46185</v>
      </c>
      <c r="D27" s="17">
        <v>46186</v>
      </c>
      <c r="E27" s="2" t="s">
        <v>559</v>
      </c>
      <c r="F27" s="2" t="s">
        <v>139</v>
      </c>
      <c r="G27" s="2">
        <v>1392</v>
      </c>
      <c r="H27" s="2">
        <v>29</v>
      </c>
    </row>
    <row r="28" spans="1:8" x14ac:dyDescent="0.35">
      <c r="A28" s="2" t="s">
        <v>887</v>
      </c>
      <c r="B28" s="2">
        <v>1</v>
      </c>
      <c r="C28" s="17">
        <v>46177</v>
      </c>
      <c r="D28" s="17">
        <v>46177</v>
      </c>
      <c r="E28" s="2" t="s">
        <v>565</v>
      </c>
      <c r="F28" s="2" t="s">
        <v>138</v>
      </c>
      <c r="G28" s="2">
        <v>946</v>
      </c>
      <c r="H28" s="2">
        <v>38</v>
      </c>
    </row>
    <row r="29" spans="1:8" x14ac:dyDescent="0.35">
      <c r="A29" s="2" t="s">
        <v>888</v>
      </c>
      <c r="B29" s="2">
        <v>5</v>
      </c>
      <c r="C29" s="17">
        <v>46174</v>
      </c>
      <c r="D29" s="17">
        <v>46175</v>
      </c>
      <c r="E29" s="2"/>
      <c r="F29" s="2" t="s">
        <v>138</v>
      </c>
      <c r="G29" s="2">
        <v>1134</v>
      </c>
      <c r="H29" s="2">
        <v>55</v>
      </c>
    </row>
    <row r="30" spans="1:8" x14ac:dyDescent="0.35">
      <c r="A30" s="2" t="s">
        <v>889</v>
      </c>
      <c r="B30" s="2">
        <v>3</v>
      </c>
      <c r="C30" s="17">
        <v>46182</v>
      </c>
      <c r="D30" s="17">
        <v>46182</v>
      </c>
      <c r="E30" s="2"/>
      <c r="F30" s="2" t="s">
        <v>139</v>
      </c>
      <c r="G30" s="2">
        <v>284</v>
      </c>
      <c r="H30" s="2">
        <v>46</v>
      </c>
    </row>
    <row r="31" spans="1:8" x14ac:dyDescent="0.35">
      <c r="A31" s="2" t="s">
        <v>890</v>
      </c>
      <c r="B31" s="2">
        <v>4</v>
      </c>
      <c r="C31" s="17">
        <v>46183</v>
      </c>
      <c r="D31" s="17">
        <v>46185</v>
      </c>
      <c r="E31" s="2" t="s">
        <v>565</v>
      </c>
      <c r="F31" s="2" t="s">
        <v>138</v>
      </c>
      <c r="G31" s="2">
        <v>711</v>
      </c>
      <c r="H31" s="2">
        <v>69</v>
      </c>
    </row>
    <row r="32" spans="1:8" x14ac:dyDescent="0.35">
      <c r="A32" s="2" t="s">
        <v>891</v>
      </c>
      <c r="B32" s="2">
        <v>5</v>
      </c>
      <c r="C32" s="17">
        <v>46212</v>
      </c>
      <c r="D32" s="17">
        <v>46213</v>
      </c>
      <c r="E32" s="2"/>
      <c r="F32" s="2" t="s">
        <v>139</v>
      </c>
      <c r="G32" s="2">
        <v>249</v>
      </c>
      <c r="H32" s="2">
        <v>37</v>
      </c>
    </row>
    <row r="33" spans="1:10" x14ac:dyDescent="0.35">
      <c r="A33" s="2" t="s">
        <v>892</v>
      </c>
      <c r="B33" s="2">
        <v>5</v>
      </c>
      <c r="C33" s="17">
        <v>46182</v>
      </c>
      <c r="D33" s="17">
        <v>46182</v>
      </c>
      <c r="E33" s="2" t="s">
        <v>556</v>
      </c>
      <c r="F33" s="2" t="s">
        <v>138</v>
      </c>
      <c r="G33" s="2">
        <v>605</v>
      </c>
      <c r="H33" s="2">
        <v>74</v>
      </c>
    </row>
    <row r="34" spans="1:10" x14ac:dyDescent="0.35">
      <c r="A34" s="2" t="s">
        <v>893</v>
      </c>
      <c r="B34" s="2">
        <v>1</v>
      </c>
      <c r="C34" s="17">
        <v>46186</v>
      </c>
      <c r="D34" s="17">
        <v>46186</v>
      </c>
      <c r="E34" s="2" t="s">
        <v>565</v>
      </c>
      <c r="F34" s="2" t="s">
        <v>144</v>
      </c>
      <c r="G34" s="2">
        <v>1361</v>
      </c>
      <c r="H34" s="2">
        <v>55</v>
      </c>
    </row>
    <row r="35" spans="1:10" x14ac:dyDescent="0.35">
      <c r="A35" s="2" t="s">
        <v>894</v>
      </c>
      <c r="B35" s="2">
        <v>5</v>
      </c>
      <c r="C35" s="17">
        <v>46198</v>
      </c>
      <c r="D35" s="17">
        <v>46198</v>
      </c>
      <c r="E35" s="2" t="s">
        <v>559</v>
      </c>
      <c r="F35" s="2" t="s">
        <v>144</v>
      </c>
      <c r="G35" s="2">
        <v>1364</v>
      </c>
      <c r="H35" s="2">
        <v>80</v>
      </c>
    </row>
    <row r="36" spans="1:10" x14ac:dyDescent="0.35">
      <c r="A36" s="2" t="s">
        <v>895</v>
      </c>
      <c r="B36" s="2">
        <v>3</v>
      </c>
      <c r="C36" s="17">
        <v>46208</v>
      </c>
      <c r="D36" s="17">
        <v>46208</v>
      </c>
      <c r="E36" s="2" t="s">
        <v>556</v>
      </c>
      <c r="F36" s="2" t="s">
        <v>144</v>
      </c>
      <c r="G36" s="2">
        <v>1264</v>
      </c>
      <c r="H36" s="2">
        <v>39</v>
      </c>
    </row>
    <row r="37" spans="1:10" x14ac:dyDescent="0.35">
      <c r="A37" s="2" t="s">
        <v>896</v>
      </c>
      <c r="B37" s="2">
        <v>5</v>
      </c>
      <c r="C37" s="17">
        <v>46207</v>
      </c>
      <c r="D37" s="17">
        <v>46209</v>
      </c>
      <c r="E37" s="2" t="s">
        <v>556</v>
      </c>
      <c r="F37" s="2" t="s">
        <v>136</v>
      </c>
      <c r="G37" s="2">
        <v>281</v>
      </c>
      <c r="H37" s="2">
        <v>66</v>
      </c>
    </row>
    <row r="38" spans="1:10" x14ac:dyDescent="0.35">
      <c r="A38" s="2" t="s">
        <v>897</v>
      </c>
      <c r="B38" s="2">
        <v>2</v>
      </c>
      <c r="C38" s="17">
        <v>46182</v>
      </c>
      <c r="D38" s="17">
        <v>46182</v>
      </c>
      <c r="E38" s="2" t="s">
        <v>556</v>
      </c>
      <c r="F38" s="2" t="s">
        <v>144</v>
      </c>
      <c r="G38" s="2">
        <v>1078</v>
      </c>
      <c r="H38" s="2">
        <v>23</v>
      </c>
    </row>
    <row r="39" spans="1:10" x14ac:dyDescent="0.35">
      <c r="A39" s="2" t="s">
        <v>898</v>
      </c>
      <c r="B39" s="2">
        <v>4</v>
      </c>
      <c r="C39" s="17">
        <v>46214</v>
      </c>
      <c r="D39" s="17">
        <v>46214</v>
      </c>
      <c r="E39" s="2" t="s">
        <v>556</v>
      </c>
      <c r="F39" s="2" t="s">
        <v>136</v>
      </c>
      <c r="G39" s="2">
        <v>648</v>
      </c>
      <c r="H39" s="2">
        <v>76</v>
      </c>
    </row>
    <row r="42" spans="1:10" x14ac:dyDescent="0.35">
      <c r="A42" s="24" t="s">
        <v>899</v>
      </c>
      <c r="B42" s="24"/>
      <c r="C42" s="24"/>
      <c r="D42" s="24"/>
      <c r="E42" s="24"/>
      <c r="F42" s="24"/>
    </row>
    <row r="43" spans="1:10" ht="28" x14ac:dyDescent="0.35">
      <c r="A43" s="1" t="s">
        <v>43</v>
      </c>
      <c r="B43" s="1" t="s">
        <v>862</v>
      </c>
      <c r="C43" s="1" t="s">
        <v>315</v>
      </c>
      <c r="D43" s="1" t="s">
        <v>316</v>
      </c>
      <c r="E43" s="1" t="s">
        <v>549</v>
      </c>
      <c r="F43" s="1" t="s">
        <v>133</v>
      </c>
      <c r="G43" s="1" t="s">
        <v>124</v>
      </c>
      <c r="H43" s="1" t="s">
        <v>863</v>
      </c>
      <c r="I43" s="9" t="s">
        <v>132</v>
      </c>
      <c r="J43" s="9" t="s">
        <v>900</v>
      </c>
    </row>
    <row r="44" spans="1:10" x14ac:dyDescent="0.35">
      <c r="A44" s="2" t="s">
        <v>864</v>
      </c>
      <c r="B44" s="2">
        <v>4</v>
      </c>
      <c r="C44" s="17">
        <v>46213</v>
      </c>
      <c r="D44" s="17">
        <v>46214</v>
      </c>
      <c r="E44" s="2" t="s">
        <v>901</v>
      </c>
      <c r="F44" s="2" t="s">
        <v>138</v>
      </c>
      <c r="G44" s="2">
        <v>531</v>
      </c>
      <c r="H44" s="2">
        <v>75</v>
      </c>
      <c r="I44" s="4" t="str">
        <f t="shared" ref="I44:I78" si="0">INDEX($B$83:$B$88,MATCH(B44,$A$83:$A$88,0))</f>
        <v>Subway</v>
      </c>
      <c r="J44" s="4" t="str">
        <f t="shared" ref="J44:J78" si="1">TEXT(D44,"dddd")</f>
        <v>Saturday</v>
      </c>
    </row>
    <row r="45" spans="1:10" x14ac:dyDescent="0.35">
      <c r="A45" s="2" t="s">
        <v>865</v>
      </c>
      <c r="B45" s="2">
        <v>1</v>
      </c>
      <c r="C45" s="17">
        <v>46195</v>
      </c>
      <c r="D45" s="17">
        <v>46197</v>
      </c>
      <c r="E45" s="2" t="s">
        <v>565</v>
      </c>
      <c r="F45" s="2" t="s">
        <v>139</v>
      </c>
      <c r="G45" s="2">
        <v>834</v>
      </c>
      <c r="H45" s="2">
        <v>55</v>
      </c>
      <c r="I45" s="4" t="str">
        <f t="shared" si="0"/>
        <v>Domino's</v>
      </c>
      <c r="J45" s="4" t="str">
        <f t="shared" si="1"/>
        <v>Wednesday</v>
      </c>
    </row>
    <row r="46" spans="1:10" x14ac:dyDescent="0.35">
      <c r="A46" s="2" t="s">
        <v>866</v>
      </c>
      <c r="B46" s="2">
        <v>5</v>
      </c>
      <c r="C46" s="17">
        <v>46218</v>
      </c>
      <c r="D46" s="17">
        <v>46218</v>
      </c>
      <c r="E46" s="2" t="s">
        <v>565</v>
      </c>
      <c r="F46" s="2" t="s">
        <v>138</v>
      </c>
      <c r="G46" s="2">
        <v>1075</v>
      </c>
      <c r="H46" s="2">
        <v>80</v>
      </c>
      <c r="I46" s="4" t="str">
        <f t="shared" si="0"/>
        <v>Pizza Hut</v>
      </c>
      <c r="J46" s="4" t="str">
        <f t="shared" si="1"/>
        <v>Wednesday</v>
      </c>
    </row>
    <row r="47" spans="1:10" x14ac:dyDescent="0.35">
      <c r="A47" s="2" t="s">
        <v>867</v>
      </c>
      <c r="B47" s="2">
        <v>4</v>
      </c>
      <c r="C47" s="17">
        <v>46184</v>
      </c>
      <c r="D47" s="17">
        <v>46184</v>
      </c>
      <c r="E47" s="2" t="s">
        <v>559</v>
      </c>
      <c r="F47" s="2" t="s">
        <v>139</v>
      </c>
      <c r="G47" s="2">
        <v>377</v>
      </c>
      <c r="H47" s="2">
        <v>28</v>
      </c>
      <c r="I47" s="4" t="str">
        <f t="shared" si="0"/>
        <v>Subway</v>
      </c>
      <c r="J47" s="4" t="str">
        <f t="shared" si="1"/>
        <v>Thursday</v>
      </c>
    </row>
    <row r="48" spans="1:10" x14ac:dyDescent="0.35">
      <c r="A48" s="2" t="s">
        <v>868</v>
      </c>
      <c r="B48" s="2">
        <v>5</v>
      </c>
      <c r="C48" s="17">
        <v>46211</v>
      </c>
      <c r="D48" s="17">
        <v>46211</v>
      </c>
      <c r="E48" s="2" t="s">
        <v>565</v>
      </c>
      <c r="F48" s="2" t="s">
        <v>139</v>
      </c>
      <c r="G48" s="2">
        <v>746</v>
      </c>
      <c r="H48" s="2">
        <v>33</v>
      </c>
      <c r="I48" s="4" t="str">
        <f t="shared" si="0"/>
        <v>Pizza Hut</v>
      </c>
      <c r="J48" s="4" t="str">
        <f t="shared" si="1"/>
        <v>Wednesday</v>
      </c>
    </row>
    <row r="49" spans="1:10" x14ac:dyDescent="0.35">
      <c r="A49" s="2" t="s">
        <v>869</v>
      </c>
      <c r="B49" s="2">
        <v>2</v>
      </c>
      <c r="C49" s="17">
        <v>46200</v>
      </c>
      <c r="D49" s="17">
        <v>46200</v>
      </c>
      <c r="E49" s="2" t="s">
        <v>901</v>
      </c>
      <c r="F49" s="2" t="s">
        <v>138</v>
      </c>
      <c r="G49" s="2">
        <v>962</v>
      </c>
      <c r="H49" s="2">
        <v>37</v>
      </c>
      <c r="I49" s="4" t="str">
        <f t="shared" si="0"/>
        <v>Burger King</v>
      </c>
      <c r="J49" s="4" t="str">
        <f t="shared" si="1"/>
        <v>Saturday</v>
      </c>
    </row>
    <row r="50" spans="1:10" x14ac:dyDescent="0.35">
      <c r="A50" s="2" t="s">
        <v>870</v>
      </c>
      <c r="B50" s="2">
        <v>3</v>
      </c>
      <c r="C50" s="17">
        <v>46176</v>
      </c>
      <c r="D50" s="17">
        <v>46176</v>
      </c>
      <c r="E50" s="2" t="s">
        <v>556</v>
      </c>
      <c r="F50" s="2" t="s">
        <v>144</v>
      </c>
      <c r="G50" s="2">
        <v>262</v>
      </c>
      <c r="H50" s="2">
        <v>77</v>
      </c>
      <c r="I50" s="4" t="str">
        <f t="shared" si="0"/>
        <v>KFC</v>
      </c>
      <c r="J50" s="4" t="str">
        <f t="shared" si="1"/>
        <v>Wednesday</v>
      </c>
    </row>
    <row r="51" spans="1:10" x14ac:dyDescent="0.35">
      <c r="A51" s="2" t="s">
        <v>871</v>
      </c>
      <c r="B51" s="2">
        <v>4</v>
      </c>
      <c r="C51" s="17">
        <v>46205</v>
      </c>
      <c r="D51" s="17">
        <v>46205</v>
      </c>
      <c r="E51" s="2" t="s">
        <v>556</v>
      </c>
      <c r="F51" s="2" t="s">
        <v>138</v>
      </c>
      <c r="G51" s="2">
        <v>1019</v>
      </c>
      <c r="H51" s="2">
        <v>67</v>
      </c>
      <c r="I51" s="4" t="str">
        <f t="shared" si="0"/>
        <v>Subway</v>
      </c>
      <c r="J51" s="4" t="str">
        <f t="shared" si="1"/>
        <v>Thursday</v>
      </c>
    </row>
    <row r="52" spans="1:10" x14ac:dyDescent="0.35">
      <c r="A52" s="2" t="s">
        <v>872</v>
      </c>
      <c r="B52" s="2">
        <v>1</v>
      </c>
      <c r="C52" s="17">
        <v>46212</v>
      </c>
      <c r="D52" s="17">
        <v>46212</v>
      </c>
      <c r="E52" s="2" t="s">
        <v>556</v>
      </c>
      <c r="F52" s="2" t="s">
        <v>138</v>
      </c>
      <c r="G52" s="2">
        <v>565</v>
      </c>
      <c r="H52" s="2">
        <v>41</v>
      </c>
      <c r="I52" s="4" t="str">
        <f t="shared" si="0"/>
        <v>Domino's</v>
      </c>
      <c r="J52" s="4" t="str">
        <f t="shared" si="1"/>
        <v>Thursday</v>
      </c>
    </row>
    <row r="53" spans="1:10" x14ac:dyDescent="0.35">
      <c r="A53" s="2" t="s">
        <v>873</v>
      </c>
      <c r="B53" s="2">
        <v>1</v>
      </c>
      <c r="C53" s="17">
        <v>46179</v>
      </c>
      <c r="D53" s="17">
        <v>46179</v>
      </c>
      <c r="E53" s="2" t="s">
        <v>556</v>
      </c>
      <c r="F53" s="2" t="s">
        <v>139</v>
      </c>
      <c r="G53" s="2">
        <v>1323</v>
      </c>
      <c r="H53" s="2">
        <v>51</v>
      </c>
      <c r="I53" s="4" t="str">
        <f t="shared" si="0"/>
        <v>Domino's</v>
      </c>
      <c r="J53" s="4" t="str">
        <f t="shared" si="1"/>
        <v>Saturday</v>
      </c>
    </row>
    <row r="54" spans="1:10" x14ac:dyDescent="0.35">
      <c r="A54" s="2" t="s">
        <v>874</v>
      </c>
      <c r="B54" s="2">
        <v>5</v>
      </c>
      <c r="C54" s="17">
        <v>46186</v>
      </c>
      <c r="D54" s="17">
        <v>46187</v>
      </c>
      <c r="E54" s="2" t="s">
        <v>556</v>
      </c>
      <c r="F54" s="2" t="s">
        <v>144</v>
      </c>
      <c r="G54" s="2">
        <v>543</v>
      </c>
      <c r="H54" s="2">
        <v>60</v>
      </c>
      <c r="I54" s="4" t="str">
        <f t="shared" si="0"/>
        <v>Pizza Hut</v>
      </c>
      <c r="J54" s="4" t="str">
        <f t="shared" si="1"/>
        <v>Sunday</v>
      </c>
    </row>
    <row r="55" spans="1:10" x14ac:dyDescent="0.35">
      <c r="A55" s="2" t="s">
        <v>875</v>
      </c>
      <c r="B55" s="2">
        <v>1</v>
      </c>
      <c r="C55" s="17">
        <v>46218</v>
      </c>
      <c r="D55" s="17">
        <v>46220</v>
      </c>
      <c r="E55" s="2" t="s">
        <v>559</v>
      </c>
      <c r="F55" s="2" t="s">
        <v>138</v>
      </c>
      <c r="G55" s="2">
        <v>1397</v>
      </c>
      <c r="H55" s="2">
        <v>66</v>
      </c>
      <c r="I55" s="4" t="str">
        <f t="shared" si="0"/>
        <v>Domino's</v>
      </c>
      <c r="J55" s="4" t="str">
        <f t="shared" si="1"/>
        <v>Friday</v>
      </c>
    </row>
    <row r="56" spans="1:10" x14ac:dyDescent="0.35">
      <c r="A56" s="2" t="s">
        <v>876</v>
      </c>
      <c r="B56" s="2">
        <v>1</v>
      </c>
      <c r="C56" s="17">
        <v>46177</v>
      </c>
      <c r="D56" s="17">
        <v>46178</v>
      </c>
      <c r="E56" s="2" t="s">
        <v>559</v>
      </c>
      <c r="F56" s="2" t="s">
        <v>136</v>
      </c>
      <c r="G56" s="2">
        <v>1328</v>
      </c>
      <c r="H56" s="2">
        <v>22</v>
      </c>
      <c r="I56" s="4" t="str">
        <f t="shared" si="0"/>
        <v>Domino's</v>
      </c>
      <c r="J56" s="4" t="str">
        <f t="shared" si="1"/>
        <v>Friday</v>
      </c>
    </row>
    <row r="57" spans="1:10" x14ac:dyDescent="0.35">
      <c r="A57" s="2" t="s">
        <v>877</v>
      </c>
      <c r="B57" s="2">
        <v>1</v>
      </c>
      <c r="C57" s="17">
        <v>46219</v>
      </c>
      <c r="D57" s="17">
        <v>46220</v>
      </c>
      <c r="E57" s="2" t="s">
        <v>559</v>
      </c>
      <c r="F57" s="2" t="s">
        <v>138</v>
      </c>
      <c r="G57" s="2">
        <v>1184</v>
      </c>
      <c r="H57" s="2">
        <v>22</v>
      </c>
      <c r="I57" s="4" t="str">
        <f t="shared" si="0"/>
        <v>Domino's</v>
      </c>
      <c r="J57" s="4" t="str">
        <f t="shared" si="1"/>
        <v>Friday</v>
      </c>
    </row>
    <row r="58" spans="1:10" x14ac:dyDescent="0.35">
      <c r="A58" s="2" t="s">
        <v>878</v>
      </c>
      <c r="B58" s="2">
        <v>3</v>
      </c>
      <c r="C58" s="17">
        <v>46217</v>
      </c>
      <c r="D58" s="17">
        <v>46219</v>
      </c>
      <c r="E58" s="2" t="s">
        <v>556</v>
      </c>
      <c r="F58" s="2" t="s">
        <v>136</v>
      </c>
      <c r="G58" s="2">
        <v>375</v>
      </c>
      <c r="H58" s="2">
        <v>75</v>
      </c>
      <c r="I58" s="4" t="str">
        <f t="shared" si="0"/>
        <v>KFC</v>
      </c>
      <c r="J58" s="4" t="str">
        <f t="shared" si="1"/>
        <v>Thursday</v>
      </c>
    </row>
    <row r="59" spans="1:10" x14ac:dyDescent="0.35">
      <c r="A59" s="2" t="s">
        <v>879</v>
      </c>
      <c r="B59" s="2">
        <v>5</v>
      </c>
      <c r="C59" s="17">
        <v>46197</v>
      </c>
      <c r="D59" s="17">
        <v>46198</v>
      </c>
      <c r="E59" s="2" t="s">
        <v>559</v>
      </c>
      <c r="F59" s="2" t="s">
        <v>144</v>
      </c>
      <c r="G59" s="2">
        <v>557</v>
      </c>
      <c r="H59" s="2">
        <v>80</v>
      </c>
      <c r="I59" s="4" t="str">
        <f t="shared" si="0"/>
        <v>Pizza Hut</v>
      </c>
      <c r="J59" s="4" t="str">
        <f t="shared" si="1"/>
        <v>Thursday</v>
      </c>
    </row>
    <row r="60" spans="1:10" x14ac:dyDescent="0.35">
      <c r="A60" s="2" t="s">
        <v>880</v>
      </c>
      <c r="B60" s="2">
        <v>5</v>
      </c>
      <c r="C60" s="17">
        <v>46175</v>
      </c>
      <c r="D60" s="17">
        <v>46176</v>
      </c>
      <c r="E60" s="2" t="s">
        <v>901</v>
      </c>
      <c r="F60" s="2" t="s">
        <v>139</v>
      </c>
      <c r="G60" s="2">
        <v>1037</v>
      </c>
      <c r="H60" s="2">
        <v>27</v>
      </c>
      <c r="I60" s="4" t="str">
        <f t="shared" si="0"/>
        <v>Pizza Hut</v>
      </c>
      <c r="J60" s="4" t="str">
        <f t="shared" si="1"/>
        <v>Wednesday</v>
      </c>
    </row>
    <row r="61" spans="1:10" x14ac:dyDescent="0.35">
      <c r="A61" s="2" t="s">
        <v>881</v>
      </c>
      <c r="B61" s="2">
        <v>2</v>
      </c>
      <c r="C61" s="17">
        <v>46188</v>
      </c>
      <c r="D61" s="17">
        <v>46189</v>
      </c>
      <c r="E61" s="2" t="s">
        <v>901</v>
      </c>
      <c r="F61" s="2" t="s">
        <v>136</v>
      </c>
      <c r="G61" s="2">
        <v>331</v>
      </c>
      <c r="H61" s="2">
        <v>39</v>
      </c>
      <c r="I61" s="4" t="str">
        <f t="shared" si="0"/>
        <v>Burger King</v>
      </c>
      <c r="J61" s="4" t="str">
        <f t="shared" si="1"/>
        <v>Tuesday</v>
      </c>
    </row>
    <row r="62" spans="1:10" x14ac:dyDescent="0.35">
      <c r="A62" s="2" t="s">
        <v>882</v>
      </c>
      <c r="B62" s="2">
        <v>3</v>
      </c>
      <c r="C62" s="17">
        <v>46180</v>
      </c>
      <c r="D62" s="17">
        <v>46182</v>
      </c>
      <c r="E62" s="2" t="s">
        <v>556</v>
      </c>
      <c r="F62" s="2" t="s">
        <v>139</v>
      </c>
      <c r="G62" s="2">
        <v>931</v>
      </c>
      <c r="H62" s="2">
        <v>69</v>
      </c>
      <c r="I62" s="4" t="str">
        <f t="shared" si="0"/>
        <v>KFC</v>
      </c>
      <c r="J62" s="4" t="str">
        <f t="shared" si="1"/>
        <v>Tuesday</v>
      </c>
    </row>
    <row r="63" spans="1:10" x14ac:dyDescent="0.35">
      <c r="A63" s="2" t="s">
        <v>883</v>
      </c>
      <c r="B63" s="2">
        <v>5</v>
      </c>
      <c r="C63" s="17">
        <v>46201</v>
      </c>
      <c r="D63" s="17">
        <v>46202</v>
      </c>
      <c r="E63" s="2" t="s">
        <v>901</v>
      </c>
      <c r="F63" s="2" t="s">
        <v>138</v>
      </c>
      <c r="G63" s="2">
        <v>1309</v>
      </c>
      <c r="H63" s="2">
        <v>67</v>
      </c>
      <c r="I63" s="4" t="str">
        <f t="shared" si="0"/>
        <v>Pizza Hut</v>
      </c>
      <c r="J63" s="4" t="str">
        <f t="shared" si="1"/>
        <v>Monday</v>
      </c>
    </row>
    <row r="64" spans="1:10" x14ac:dyDescent="0.35">
      <c r="A64" s="2" t="s">
        <v>884</v>
      </c>
      <c r="B64" s="2">
        <v>1</v>
      </c>
      <c r="C64" s="17">
        <v>46201</v>
      </c>
      <c r="D64" s="17">
        <v>46201</v>
      </c>
      <c r="E64" s="2" t="s">
        <v>556</v>
      </c>
      <c r="F64" s="2" t="s">
        <v>144</v>
      </c>
      <c r="G64" s="2">
        <v>1194</v>
      </c>
      <c r="H64" s="2">
        <v>43</v>
      </c>
      <c r="I64" s="4" t="str">
        <f t="shared" si="0"/>
        <v>Domino's</v>
      </c>
      <c r="J64" s="4" t="str">
        <f t="shared" si="1"/>
        <v>Sunday</v>
      </c>
    </row>
    <row r="65" spans="1:10" x14ac:dyDescent="0.35">
      <c r="A65" s="2" t="s">
        <v>885</v>
      </c>
      <c r="B65" s="2">
        <v>5</v>
      </c>
      <c r="C65" s="17">
        <v>46197</v>
      </c>
      <c r="D65" s="17">
        <v>46197</v>
      </c>
      <c r="E65" s="2" t="s">
        <v>901</v>
      </c>
      <c r="F65" s="2" t="s">
        <v>138</v>
      </c>
      <c r="G65" s="2">
        <v>680</v>
      </c>
      <c r="H65" s="2">
        <v>21</v>
      </c>
      <c r="I65" s="4" t="str">
        <f t="shared" si="0"/>
        <v>Pizza Hut</v>
      </c>
      <c r="J65" s="4" t="str">
        <f t="shared" si="1"/>
        <v>Wednesday</v>
      </c>
    </row>
    <row r="66" spans="1:10" x14ac:dyDescent="0.35">
      <c r="A66" s="2" t="s">
        <v>886</v>
      </c>
      <c r="B66" s="2">
        <v>1</v>
      </c>
      <c r="C66" s="17">
        <v>46185</v>
      </c>
      <c r="D66" s="17">
        <v>46186</v>
      </c>
      <c r="E66" s="2" t="s">
        <v>559</v>
      </c>
      <c r="F66" s="2" t="s">
        <v>139</v>
      </c>
      <c r="G66" s="2">
        <v>1392</v>
      </c>
      <c r="H66" s="2">
        <v>29</v>
      </c>
      <c r="I66" s="4" t="str">
        <f t="shared" si="0"/>
        <v>Domino's</v>
      </c>
      <c r="J66" s="4" t="str">
        <f t="shared" si="1"/>
        <v>Saturday</v>
      </c>
    </row>
    <row r="67" spans="1:10" x14ac:dyDescent="0.35">
      <c r="A67" s="2" t="s">
        <v>887</v>
      </c>
      <c r="B67" s="2">
        <v>1</v>
      </c>
      <c r="C67" s="17">
        <v>46177</v>
      </c>
      <c r="D67" s="17">
        <v>46177</v>
      </c>
      <c r="E67" s="2" t="s">
        <v>565</v>
      </c>
      <c r="F67" s="2" t="s">
        <v>138</v>
      </c>
      <c r="G67" s="2">
        <v>946</v>
      </c>
      <c r="H67" s="2">
        <v>38</v>
      </c>
      <c r="I67" s="4" t="str">
        <f t="shared" si="0"/>
        <v>Domino's</v>
      </c>
      <c r="J67" s="4" t="str">
        <f t="shared" si="1"/>
        <v>Thursday</v>
      </c>
    </row>
    <row r="68" spans="1:10" x14ac:dyDescent="0.35">
      <c r="A68" s="2" t="s">
        <v>888</v>
      </c>
      <c r="B68" s="2">
        <v>5</v>
      </c>
      <c r="C68" s="17">
        <v>46174</v>
      </c>
      <c r="D68" s="17">
        <v>46175</v>
      </c>
      <c r="E68" s="2" t="s">
        <v>901</v>
      </c>
      <c r="F68" s="2" t="s">
        <v>138</v>
      </c>
      <c r="G68" s="2">
        <v>1134</v>
      </c>
      <c r="H68" s="2">
        <v>55</v>
      </c>
      <c r="I68" s="4" t="str">
        <f t="shared" si="0"/>
        <v>Pizza Hut</v>
      </c>
      <c r="J68" s="4" t="str">
        <f t="shared" si="1"/>
        <v>Tuesday</v>
      </c>
    </row>
    <row r="69" spans="1:10" x14ac:dyDescent="0.35">
      <c r="A69" s="2" t="s">
        <v>889</v>
      </c>
      <c r="B69" s="2">
        <v>3</v>
      </c>
      <c r="C69" s="17">
        <v>46182</v>
      </c>
      <c r="D69" s="17">
        <v>46182</v>
      </c>
      <c r="E69" s="2" t="s">
        <v>901</v>
      </c>
      <c r="F69" s="2" t="s">
        <v>139</v>
      </c>
      <c r="G69" s="2">
        <v>284</v>
      </c>
      <c r="H69" s="2">
        <v>46</v>
      </c>
      <c r="I69" s="4" t="str">
        <f t="shared" si="0"/>
        <v>KFC</v>
      </c>
      <c r="J69" s="4" t="str">
        <f t="shared" si="1"/>
        <v>Tuesday</v>
      </c>
    </row>
    <row r="70" spans="1:10" x14ac:dyDescent="0.35">
      <c r="A70" s="2" t="s">
        <v>890</v>
      </c>
      <c r="B70" s="2">
        <v>4</v>
      </c>
      <c r="C70" s="17">
        <v>46183</v>
      </c>
      <c r="D70" s="17">
        <v>46185</v>
      </c>
      <c r="E70" s="2" t="s">
        <v>565</v>
      </c>
      <c r="F70" s="2" t="s">
        <v>138</v>
      </c>
      <c r="G70" s="2">
        <v>711</v>
      </c>
      <c r="H70" s="2">
        <v>69</v>
      </c>
      <c r="I70" s="4" t="str">
        <f t="shared" si="0"/>
        <v>Subway</v>
      </c>
      <c r="J70" s="4" t="str">
        <f t="shared" si="1"/>
        <v>Friday</v>
      </c>
    </row>
    <row r="71" spans="1:10" x14ac:dyDescent="0.35">
      <c r="A71" s="2" t="s">
        <v>891</v>
      </c>
      <c r="B71" s="2">
        <v>5</v>
      </c>
      <c r="C71" s="17">
        <v>46212</v>
      </c>
      <c r="D71" s="17">
        <v>46213</v>
      </c>
      <c r="E71" s="2" t="s">
        <v>901</v>
      </c>
      <c r="F71" s="2" t="s">
        <v>139</v>
      </c>
      <c r="G71" s="2">
        <v>249</v>
      </c>
      <c r="H71" s="2">
        <v>37</v>
      </c>
      <c r="I71" s="4" t="str">
        <f t="shared" si="0"/>
        <v>Pizza Hut</v>
      </c>
      <c r="J71" s="4" t="str">
        <f t="shared" si="1"/>
        <v>Friday</v>
      </c>
    </row>
    <row r="72" spans="1:10" x14ac:dyDescent="0.35">
      <c r="A72" s="2" t="s">
        <v>892</v>
      </c>
      <c r="B72" s="2">
        <v>5</v>
      </c>
      <c r="C72" s="17">
        <v>46182</v>
      </c>
      <c r="D72" s="17">
        <v>46182</v>
      </c>
      <c r="E72" s="2" t="s">
        <v>556</v>
      </c>
      <c r="F72" s="2" t="s">
        <v>138</v>
      </c>
      <c r="G72" s="2">
        <v>605</v>
      </c>
      <c r="H72" s="2">
        <v>74</v>
      </c>
      <c r="I72" s="4" t="str">
        <f t="shared" si="0"/>
        <v>Pizza Hut</v>
      </c>
      <c r="J72" s="4" t="str">
        <f t="shared" si="1"/>
        <v>Tuesday</v>
      </c>
    </row>
    <row r="73" spans="1:10" x14ac:dyDescent="0.35">
      <c r="A73" s="2" t="s">
        <v>893</v>
      </c>
      <c r="B73" s="2">
        <v>1</v>
      </c>
      <c r="C73" s="17">
        <v>46186</v>
      </c>
      <c r="D73" s="17">
        <v>46186</v>
      </c>
      <c r="E73" s="2" t="s">
        <v>565</v>
      </c>
      <c r="F73" s="2" t="s">
        <v>144</v>
      </c>
      <c r="G73" s="2">
        <v>1361</v>
      </c>
      <c r="H73" s="2">
        <v>55</v>
      </c>
      <c r="I73" s="4" t="str">
        <f t="shared" si="0"/>
        <v>Domino's</v>
      </c>
      <c r="J73" s="4" t="str">
        <f t="shared" si="1"/>
        <v>Saturday</v>
      </c>
    </row>
    <row r="74" spans="1:10" x14ac:dyDescent="0.35">
      <c r="A74" s="2" t="s">
        <v>894</v>
      </c>
      <c r="B74" s="2">
        <v>5</v>
      </c>
      <c r="C74" s="17">
        <v>46198</v>
      </c>
      <c r="D74" s="17">
        <v>46198</v>
      </c>
      <c r="E74" s="2" t="s">
        <v>559</v>
      </c>
      <c r="F74" s="2" t="s">
        <v>144</v>
      </c>
      <c r="G74" s="2">
        <v>1364</v>
      </c>
      <c r="H74" s="2">
        <v>80</v>
      </c>
      <c r="I74" s="4" t="str">
        <f t="shared" si="0"/>
        <v>Pizza Hut</v>
      </c>
      <c r="J74" s="4" t="str">
        <f t="shared" si="1"/>
        <v>Thursday</v>
      </c>
    </row>
    <row r="75" spans="1:10" x14ac:dyDescent="0.35">
      <c r="A75" s="2" t="s">
        <v>895</v>
      </c>
      <c r="B75" s="2">
        <v>3</v>
      </c>
      <c r="C75" s="17">
        <v>46208</v>
      </c>
      <c r="D75" s="17">
        <v>46208</v>
      </c>
      <c r="E75" s="2" t="s">
        <v>556</v>
      </c>
      <c r="F75" s="2" t="s">
        <v>144</v>
      </c>
      <c r="G75" s="2">
        <v>1264</v>
      </c>
      <c r="H75" s="2">
        <v>39</v>
      </c>
      <c r="I75" s="4" t="str">
        <f t="shared" si="0"/>
        <v>KFC</v>
      </c>
      <c r="J75" s="4" t="str">
        <f t="shared" si="1"/>
        <v>Sunday</v>
      </c>
    </row>
    <row r="76" spans="1:10" x14ac:dyDescent="0.35">
      <c r="A76" s="2" t="s">
        <v>896</v>
      </c>
      <c r="B76" s="2">
        <v>5</v>
      </c>
      <c r="C76" s="17">
        <v>46207</v>
      </c>
      <c r="D76" s="17">
        <v>46209</v>
      </c>
      <c r="E76" s="2" t="s">
        <v>556</v>
      </c>
      <c r="F76" s="2" t="s">
        <v>136</v>
      </c>
      <c r="G76" s="2">
        <v>281</v>
      </c>
      <c r="H76" s="2">
        <v>66</v>
      </c>
      <c r="I76" s="4" t="str">
        <f t="shared" si="0"/>
        <v>Pizza Hut</v>
      </c>
      <c r="J76" s="4" t="str">
        <f t="shared" si="1"/>
        <v>Monday</v>
      </c>
    </row>
    <row r="77" spans="1:10" x14ac:dyDescent="0.35">
      <c r="A77" s="2" t="s">
        <v>897</v>
      </c>
      <c r="B77" s="2">
        <v>2</v>
      </c>
      <c r="C77" s="17">
        <v>46182</v>
      </c>
      <c r="D77" s="17">
        <v>46182</v>
      </c>
      <c r="E77" s="2" t="s">
        <v>556</v>
      </c>
      <c r="F77" s="2" t="s">
        <v>144</v>
      </c>
      <c r="G77" s="2">
        <v>1078</v>
      </c>
      <c r="H77" s="2">
        <v>23</v>
      </c>
      <c r="I77" s="4" t="str">
        <f t="shared" si="0"/>
        <v>Burger King</v>
      </c>
      <c r="J77" s="4" t="str">
        <f t="shared" si="1"/>
        <v>Tuesday</v>
      </c>
    </row>
    <row r="78" spans="1:10" x14ac:dyDescent="0.35">
      <c r="A78" s="2" t="s">
        <v>898</v>
      </c>
      <c r="B78" s="2">
        <v>4</v>
      </c>
      <c r="C78" s="17">
        <v>46214</v>
      </c>
      <c r="D78" s="17">
        <v>46214</v>
      </c>
      <c r="E78" s="2" t="s">
        <v>556</v>
      </c>
      <c r="F78" s="2" t="s">
        <v>136</v>
      </c>
      <c r="G78" s="2">
        <v>648</v>
      </c>
      <c r="H78" s="2">
        <v>76</v>
      </c>
      <c r="I78" s="4" t="str">
        <f t="shared" si="0"/>
        <v>Subway</v>
      </c>
      <c r="J78" s="4" t="str">
        <f t="shared" si="1"/>
        <v>Saturday</v>
      </c>
    </row>
    <row r="81" spans="1:6" x14ac:dyDescent="0.35">
      <c r="A81" s="24" t="s">
        <v>902</v>
      </c>
      <c r="B81" s="24"/>
      <c r="C81" s="24"/>
      <c r="D81" s="24"/>
      <c r="E81" s="24"/>
      <c r="F81" s="24"/>
    </row>
    <row r="82" spans="1:6" ht="28" x14ac:dyDescent="0.35">
      <c r="A82" s="1" t="s">
        <v>862</v>
      </c>
      <c r="B82" s="1" t="s">
        <v>132</v>
      </c>
      <c r="D82" s="14" t="s">
        <v>903</v>
      </c>
    </row>
    <row r="83" spans="1:6" x14ac:dyDescent="0.35">
      <c r="A83" s="2">
        <v>1</v>
      </c>
      <c r="B83" s="2" t="s">
        <v>72</v>
      </c>
    </row>
    <row r="84" spans="1:6" x14ac:dyDescent="0.35">
      <c r="A84" s="2">
        <v>2</v>
      </c>
      <c r="B84" s="2" t="s">
        <v>135</v>
      </c>
    </row>
    <row r="85" spans="1:6" x14ac:dyDescent="0.35">
      <c r="A85" s="2">
        <v>3</v>
      </c>
      <c r="B85" s="2" t="s">
        <v>137</v>
      </c>
    </row>
    <row r="86" spans="1:6" x14ac:dyDescent="0.35">
      <c r="A86" s="2">
        <v>4</v>
      </c>
      <c r="B86" s="2" t="s">
        <v>146</v>
      </c>
    </row>
    <row r="87" spans="1:6" x14ac:dyDescent="0.35">
      <c r="A87" s="2">
        <v>5</v>
      </c>
      <c r="B87" s="2" t="s">
        <v>149</v>
      </c>
    </row>
    <row r="90" spans="1:6" x14ac:dyDescent="0.35">
      <c r="A90" s="24" t="s">
        <v>904</v>
      </c>
      <c r="B90" s="24"/>
      <c r="C90" s="24"/>
      <c r="D90" s="24"/>
      <c r="E90" s="24"/>
      <c r="F90" s="24"/>
    </row>
    <row r="91" spans="1:6" x14ac:dyDescent="0.35">
      <c r="A91" s="14" t="s">
        <v>905</v>
      </c>
    </row>
    <row r="92" spans="1:6" x14ac:dyDescent="0.35">
      <c r="A92" s="14" t="s">
        <v>906</v>
      </c>
    </row>
    <row r="94" spans="1:6" x14ac:dyDescent="0.35">
      <c r="A94" s="24" t="s">
        <v>907</v>
      </c>
      <c r="B94" s="24"/>
      <c r="C94" s="24"/>
      <c r="D94" s="24"/>
      <c r="E94" s="24"/>
      <c r="F94" s="24"/>
    </row>
    <row r="95" spans="1:6" ht="42" x14ac:dyDescent="0.35">
      <c r="A95" s="1" t="s">
        <v>133</v>
      </c>
      <c r="B95" s="1" t="s">
        <v>908</v>
      </c>
      <c r="C95" s="1" t="s">
        <v>909</v>
      </c>
    </row>
    <row r="96" spans="1:6" x14ac:dyDescent="0.35">
      <c r="A96" s="4" t="s">
        <v>139</v>
      </c>
      <c r="B96" s="4">
        <f>COUNTIF($F$44:$F$79,A96)</f>
        <v>9</v>
      </c>
      <c r="C96" s="4">
        <f>SUMIF($F$44:$F$79,A96,$H$44:$H$79)</f>
        <v>375</v>
      </c>
    </row>
    <row r="97" spans="1:3" x14ac:dyDescent="0.35">
      <c r="A97" s="4" t="s">
        <v>138</v>
      </c>
      <c r="B97" s="4">
        <f>COUNTIF($F$44:$F$79,A97)</f>
        <v>13</v>
      </c>
      <c r="C97" s="4">
        <f>SUMIF($F$44:$F$79,A97,$H$44:$H$79)</f>
        <v>712</v>
      </c>
    </row>
    <row r="98" spans="1:3" x14ac:dyDescent="0.35">
      <c r="A98" s="4" t="s">
        <v>136</v>
      </c>
      <c r="B98" s="4">
        <f>COUNTIF($F$44:$F$79,A98)</f>
        <v>5</v>
      </c>
      <c r="C98" s="4">
        <f>SUMIF($F$44:$F$79,A98,$H$44:$H$79)</f>
        <v>278</v>
      </c>
    </row>
    <row r="99" spans="1:3" x14ac:dyDescent="0.35">
      <c r="A99" s="4" t="s">
        <v>144</v>
      </c>
      <c r="B99" s="4">
        <f>COUNTIF($F$44:$F$79,A99)</f>
        <v>8</v>
      </c>
      <c r="C99" s="4">
        <f>SUMIF($F$44:$F$79,A99,$H$44:$H$79)</f>
        <v>457</v>
      </c>
    </row>
    <row r="116" spans="1:8" x14ac:dyDescent="0.35">
      <c r="A116" s="24" t="s">
        <v>910</v>
      </c>
      <c r="B116" s="24"/>
      <c r="C116" s="24"/>
      <c r="D116" s="24"/>
      <c r="E116" s="24"/>
      <c r="F116" s="24"/>
    </row>
    <row r="117" spans="1:8" x14ac:dyDescent="0.35">
      <c r="A117" s="18" t="s">
        <v>911</v>
      </c>
      <c r="C117" s="19" t="s">
        <v>912</v>
      </c>
    </row>
    <row r="118" spans="1:8" ht="18" x14ac:dyDescent="0.4">
      <c r="A118" s="21">
        <f>COUNTA($A$44:$A$79)</f>
        <v>35</v>
      </c>
      <c r="C118" s="22">
        <f>SUMPRODUCT($D$44:$D$79-$C$44:$C$79)/COUNT($D$44:$D$79)</f>
        <v>0.65714285714285714</v>
      </c>
    </row>
    <row r="120" spans="1:8" ht="27.75" customHeight="1" x14ac:dyDescent="0.35">
      <c r="A120" s="25" t="s">
        <v>913</v>
      </c>
      <c r="B120" s="25"/>
      <c r="C120" s="25"/>
      <c r="D120" s="25"/>
      <c r="E120" s="25"/>
      <c r="F120" s="25"/>
      <c r="G120" s="25"/>
      <c r="H120" s="25"/>
    </row>
  </sheetData>
  <mergeCells count="8">
    <mergeCell ref="A94:F94"/>
    <mergeCell ref="A116:F116"/>
    <mergeCell ref="A120:H120"/>
    <mergeCell ref="A1:F1"/>
    <mergeCell ref="A3:F3"/>
    <mergeCell ref="A42:F42"/>
    <mergeCell ref="A81:F81"/>
    <mergeCell ref="A90:F90"/>
  </mergeCells>
  <pageMargins left="0.75" right="0.75" top="1" bottom="1" header="0.511811023622047" footer="0.511811023622047"/>
  <pageSetup paperSize="9" orientation="portrait"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showGridLines="0" topLeftCell="A20" zoomScaleNormal="100" workbookViewId="0">
      <selection sqref="A1:F1"/>
    </sheetView>
  </sheetViews>
  <sheetFormatPr defaultColWidth="8.6328125" defaultRowHeight="14.5" x14ac:dyDescent="0.35"/>
  <cols>
    <col min="1" max="1" width="100" customWidth="1"/>
  </cols>
  <sheetData>
    <row r="1" spans="1:8" ht="18" x14ac:dyDescent="0.4">
      <c r="A1" s="26" t="s">
        <v>914</v>
      </c>
      <c r="B1" s="26"/>
      <c r="C1" s="26"/>
      <c r="D1" s="26"/>
      <c r="E1" s="26"/>
      <c r="F1" s="26"/>
    </row>
    <row r="2" spans="1:8" ht="27.75" customHeight="1" x14ac:dyDescent="0.35">
      <c r="A2" s="25" t="s">
        <v>915</v>
      </c>
      <c r="B2" s="25"/>
      <c r="C2" s="25"/>
      <c r="D2" s="25"/>
      <c r="E2" s="25"/>
      <c r="F2" s="25"/>
      <c r="G2" s="25"/>
      <c r="H2" s="25"/>
    </row>
    <row r="5" spans="1:8" x14ac:dyDescent="0.35">
      <c r="A5" s="23" t="s">
        <v>916</v>
      </c>
    </row>
    <row r="6" spans="1:8" x14ac:dyDescent="0.35">
      <c r="A6" s="23" t="s">
        <v>917</v>
      </c>
    </row>
    <row r="7" spans="1:8" x14ac:dyDescent="0.35">
      <c r="A7" s="23" t="s">
        <v>918</v>
      </c>
    </row>
    <row r="8" spans="1:8" x14ac:dyDescent="0.35">
      <c r="A8" s="23" t="s">
        <v>919</v>
      </c>
    </row>
    <row r="9" spans="1:8" x14ac:dyDescent="0.35">
      <c r="A9" s="23" t="s">
        <v>920</v>
      </c>
    </row>
    <row r="10" spans="1:8" x14ac:dyDescent="0.35">
      <c r="A10" s="23"/>
    </row>
    <row r="11" spans="1:8" x14ac:dyDescent="0.35">
      <c r="A11" s="23" t="s">
        <v>921</v>
      </c>
    </row>
    <row r="12" spans="1:8" x14ac:dyDescent="0.35">
      <c r="A12" s="23" t="s">
        <v>922</v>
      </c>
    </row>
    <row r="13" spans="1:8" x14ac:dyDescent="0.35">
      <c r="A13" s="23" t="s">
        <v>923</v>
      </c>
    </row>
    <row r="14" spans="1:8" x14ac:dyDescent="0.35">
      <c r="A14" s="23" t="s">
        <v>924</v>
      </c>
    </row>
    <row r="15" spans="1:8" x14ac:dyDescent="0.35">
      <c r="A15" s="23" t="s">
        <v>925</v>
      </c>
    </row>
    <row r="16" spans="1:8" x14ac:dyDescent="0.35">
      <c r="A16" s="23" t="s">
        <v>926</v>
      </c>
    </row>
    <row r="17" spans="1:1" x14ac:dyDescent="0.35">
      <c r="A17" s="23" t="s">
        <v>927</v>
      </c>
    </row>
    <row r="18" spans="1:1" x14ac:dyDescent="0.35">
      <c r="A18" s="23" t="s">
        <v>928</v>
      </c>
    </row>
    <row r="19" spans="1:1" x14ac:dyDescent="0.35">
      <c r="A19" s="23" t="s">
        <v>920</v>
      </c>
    </row>
    <row r="20" spans="1:1" x14ac:dyDescent="0.35">
      <c r="A20" s="23"/>
    </row>
    <row r="21" spans="1:1" x14ac:dyDescent="0.35">
      <c r="A21" s="23" t="s">
        <v>929</v>
      </c>
    </row>
    <row r="22" spans="1:1" x14ac:dyDescent="0.35">
      <c r="A22" s="23" t="s">
        <v>930</v>
      </c>
    </row>
    <row r="23" spans="1:1" x14ac:dyDescent="0.35">
      <c r="A23" s="23" t="s">
        <v>931</v>
      </c>
    </row>
    <row r="24" spans="1:1" x14ac:dyDescent="0.35">
      <c r="A24" s="23" t="s">
        <v>932</v>
      </c>
    </row>
    <row r="25" spans="1:1" x14ac:dyDescent="0.35">
      <c r="A25" s="23" t="s">
        <v>933</v>
      </c>
    </row>
    <row r="26" spans="1:1" x14ac:dyDescent="0.35">
      <c r="A26" s="23" t="s">
        <v>934</v>
      </c>
    </row>
    <row r="27" spans="1:1" x14ac:dyDescent="0.35">
      <c r="A27" s="23" t="s">
        <v>935</v>
      </c>
    </row>
    <row r="28" spans="1:1" x14ac:dyDescent="0.35">
      <c r="A28" s="23" t="s">
        <v>932</v>
      </c>
    </row>
    <row r="29" spans="1:1" x14ac:dyDescent="0.35">
      <c r="A29" s="23" t="s">
        <v>936</v>
      </c>
    </row>
    <row r="30" spans="1:1" x14ac:dyDescent="0.35">
      <c r="A30" s="23" t="s">
        <v>920</v>
      </c>
    </row>
    <row r="31" spans="1:1" x14ac:dyDescent="0.35">
      <c r="A31" s="23"/>
    </row>
    <row r="32" spans="1:1" x14ac:dyDescent="0.35">
      <c r="A32" s="23" t="s">
        <v>937</v>
      </c>
    </row>
    <row r="33" spans="1:8" x14ac:dyDescent="0.35">
      <c r="A33" s="23" t="s">
        <v>938</v>
      </c>
    </row>
    <row r="34" spans="1:8" x14ac:dyDescent="0.35">
      <c r="A34" s="23" t="s">
        <v>939</v>
      </c>
    </row>
    <row r="35" spans="1:8" x14ac:dyDescent="0.35">
      <c r="A35" s="23" t="s">
        <v>940</v>
      </c>
    </row>
    <row r="36" spans="1:8" x14ac:dyDescent="0.35">
      <c r="A36" s="23" t="s">
        <v>932</v>
      </c>
    </row>
    <row r="37" spans="1:8" x14ac:dyDescent="0.35">
      <c r="A37" s="23" t="s">
        <v>941</v>
      </c>
    </row>
    <row r="38" spans="1:8" x14ac:dyDescent="0.35">
      <c r="A38" s="23" t="s">
        <v>942</v>
      </c>
    </row>
    <row r="39" spans="1:8" x14ac:dyDescent="0.35">
      <c r="A39" s="23" t="s">
        <v>943</v>
      </c>
    </row>
    <row r="40" spans="1:8" x14ac:dyDescent="0.35">
      <c r="A40" s="23" t="s">
        <v>944</v>
      </c>
    </row>
    <row r="41" spans="1:8" x14ac:dyDescent="0.35">
      <c r="A41" s="23" t="s">
        <v>945</v>
      </c>
    </row>
    <row r="42" spans="1:8" x14ac:dyDescent="0.35">
      <c r="A42" s="23" t="s">
        <v>920</v>
      </c>
    </row>
    <row r="44" spans="1:8" ht="27.75" customHeight="1" x14ac:dyDescent="0.35">
      <c r="A44" s="25" t="s">
        <v>946</v>
      </c>
      <c r="B44" s="25"/>
      <c r="C44" s="25"/>
      <c r="D44" s="25"/>
      <c r="E44" s="25"/>
      <c r="F44" s="25"/>
      <c r="G44" s="25"/>
      <c r="H44" s="25"/>
    </row>
  </sheetData>
  <mergeCells count="3">
    <mergeCell ref="A1:F1"/>
    <mergeCell ref="A2:H2"/>
    <mergeCell ref="A44:H44"/>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
  <sheetViews>
    <sheetView showGridLines="0" tabSelected="1" zoomScaleNormal="100" workbookViewId="0">
      <selection sqref="A1:F1"/>
    </sheetView>
  </sheetViews>
  <sheetFormatPr defaultColWidth="8.6328125" defaultRowHeight="14.5" x14ac:dyDescent="0.35"/>
  <cols>
    <col min="1" max="1" width="100" customWidth="1"/>
  </cols>
  <sheetData>
    <row r="1" spans="1:8" ht="18" x14ac:dyDescent="0.4">
      <c r="A1" s="26" t="s">
        <v>947</v>
      </c>
      <c r="B1" s="26"/>
      <c r="C1" s="26"/>
      <c r="D1" s="26"/>
      <c r="E1" s="26"/>
      <c r="F1" s="26"/>
    </row>
    <row r="2" spans="1:8" ht="27.75" customHeight="1" x14ac:dyDescent="0.35">
      <c r="A2" s="25" t="s">
        <v>948</v>
      </c>
      <c r="B2" s="25"/>
      <c r="C2" s="25"/>
      <c r="D2" s="25"/>
      <c r="E2" s="25"/>
      <c r="F2" s="25"/>
      <c r="G2" s="25"/>
      <c r="H2" s="25"/>
    </row>
    <row r="5" spans="1:8" x14ac:dyDescent="0.35">
      <c r="A5" s="23" t="s">
        <v>949</v>
      </c>
    </row>
    <row r="6" spans="1:8" x14ac:dyDescent="0.35">
      <c r="A6" s="23" t="s">
        <v>950</v>
      </c>
    </row>
    <row r="7" spans="1:8" x14ac:dyDescent="0.35">
      <c r="A7" s="23" t="s">
        <v>920</v>
      </c>
    </row>
    <row r="8" spans="1:8" x14ac:dyDescent="0.35">
      <c r="A8" s="23"/>
    </row>
    <row r="9" spans="1:8" x14ac:dyDescent="0.35">
      <c r="A9" s="23" t="s">
        <v>951</v>
      </c>
    </row>
    <row r="10" spans="1:8" x14ac:dyDescent="0.35">
      <c r="A10" s="23" t="s">
        <v>952</v>
      </c>
    </row>
    <row r="11" spans="1:8" x14ac:dyDescent="0.35">
      <c r="A11" s="23" t="s">
        <v>953</v>
      </c>
    </row>
    <row r="12" spans="1:8" x14ac:dyDescent="0.35">
      <c r="A12" s="23" t="s">
        <v>954</v>
      </c>
    </row>
    <row r="13" spans="1:8" x14ac:dyDescent="0.35">
      <c r="A13" s="23"/>
    </row>
    <row r="14" spans="1:8" x14ac:dyDescent="0.35">
      <c r="A14" s="23" t="s">
        <v>955</v>
      </c>
    </row>
    <row r="15" spans="1:8" x14ac:dyDescent="0.35">
      <c r="A15" s="23" t="s">
        <v>956</v>
      </c>
    </row>
    <row r="16" spans="1:8" x14ac:dyDescent="0.35">
      <c r="A16" s="23" t="s">
        <v>957</v>
      </c>
    </row>
    <row r="17" spans="1:1" x14ac:dyDescent="0.35">
      <c r="A17" s="23"/>
    </row>
    <row r="18" spans="1:1" x14ac:dyDescent="0.35">
      <c r="A18" s="23" t="s">
        <v>958</v>
      </c>
    </row>
    <row r="19" spans="1:1" x14ac:dyDescent="0.35">
      <c r="A19" s="23" t="s">
        <v>959</v>
      </c>
    </row>
    <row r="20" spans="1:1" x14ac:dyDescent="0.35">
      <c r="A20" s="23" t="s">
        <v>960</v>
      </c>
    </row>
    <row r="21" spans="1:1" x14ac:dyDescent="0.35">
      <c r="A21" s="23" t="s">
        <v>920</v>
      </c>
    </row>
    <row r="22" spans="1:1" x14ac:dyDescent="0.35">
      <c r="A22" s="23"/>
    </row>
    <row r="23" spans="1:1" x14ac:dyDescent="0.35">
      <c r="A23" s="23" t="s">
        <v>961</v>
      </c>
    </row>
    <row r="24" spans="1:1" x14ac:dyDescent="0.35">
      <c r="A24" s="23" t="s">
        <v>962</v>
      </c>
    </row>
    <row r="25" spans="1:1" x14ac:dyDescent="0.35">
      <c r="A25" s="23" t="s">
        <v>963</v>
      </c>
    </row>
    <row r="26" spans="1:1" x14ac:dyDescent="0.35">
      <c r="A26" s="23" t="s">
        <v>964</v>
      </c>
    </row>
    <row r="27" spans="1:1" x14ac:dyDescent="0.35">
      <c r="A27" s="23" t="s">
        <v>965</v>
      </c>
    </row>
    <row r="28" spans="1:1" x14ac:dyDescent="0.35">
      <c r="A28" s="23" t="s">
        <v>966</v>
      </c>
    </row>
    <row r="29" spans="1:1" x14ac:dyDescent="0.35">
      <c r="A29" s="23" t="s">
        <v>967</v>
      </c>
    </row>
    <row r="30" spans="1:1" x14ac:dyDescent="0.35">
      <c r="A30" s="23" t="s">
        <v>920</v>
      </c>
    </row>
    <row r="31" spans="1:1" x14ac:dyDescent="0.35">
      <c r="A31" s="23"/>
    </row>
    <row r="32" spans="1:1" x14ac:dyDescent="0.35">
      <c r="A32" s="23" t="s">
        <v>968</v>
      </c>
    </row>
    <row r="33" spans="1:1" x14ac:dyDescent="0.35">
      <c r="A33" s="23" t="s">
        <v>969</v>
      </c>
    </row>
    <row r="34" spans="1:1" x14ac:dyDescent="0.35">
      <c r="A34" s="23" t="s">
        <v>970</v>
      </c>
    </row>
    <row r="35" spans="1:1" x14ac:dyDescent="0.35">
      <c r="A35" s="23" t="s">
        <v>971</v>
      </c>
    </row>
    <row r="36" spans="1:1" x14ac:dyDescent="0.35">
      <c r="A36" s="23" t="s">
        <v>972</v>
      </c>
    </row>
    <row r="37" spans="1:1" x14ac:dyDescent="0.35">
      <c r="A37" s="23" t="s">
        <v>935</v>
      </c>
    </row>
    <row r="38" spans="1:1" x14ac:dyDescent="0.35">
      <c r="A38" s="23" t="s">
        <v>920</v>
      </c>
    </row>
    <row r="39" spans="1:1" x14ac:dyDescent="0.35">
      <c r="A39" s="23"/>
    </row>
    <row r="40" spans="1:1" x14ac:dyDescent="0.35">
      <c r="A40" s="23" t="s">
        <v>973</v>
      </c>
    </row>
    <row r="41" spans="1:1" x14ac:dyDescent="0.35">
      <c r="A41" s="23" t="s">
        <v>974</v>
      </c>
    </row>
    <row r="42" spans="1:1" x14ac:dyDescent="0.35">
      <c r="A42" s="23" t="s">
        <v>975</v>
      </c>
    </row>
    <row r="43" spans="1:1" x14ac:dyDescent="0.35">
      <c r="A43" s="23" t="s">
        <v>976</v>
      </c>
    </row>
    <row r="44" spans="1:1" x14ac:dyDescent="0.35">
      <c r="A44" s="23" t="s">
        <v>977</v>
      </c>
    </row>
    <row r="45" spans="1:1" x14ac:dyDescent="0.35">
      <c r="A45" s="23" t="s">
        <v>978</v>
      </c>
    </row>
    <row r="46" spans="1:1" x14ac:dyDescent="0.35">
      <c r="A46" s="23" t="s">
        <v>979</v>
      </c>
    </row>
    <row r="47" spans="1:1" x14ac:dyDescent="0.35">
      <c r="A47" s="23" t="s">
        <v>980</v>
      </c>
    </row>
    <row r="48" spans="1:1" x14ac:dyDescent="0.35">
      <c r="A48" s="23" t="s">
        <v>981</v>
      </c>
    </row>
    <row r="49" spans="1:1" x14ac:dyDescent="0.35">
      <c r="A49" s="23" t="s">
        <v>920</v>
      </c>
    </row>
  </sheetData>
  <mergeCells count="2">
    <mergeCell ref="A1:F1"/>
    <mergeCell ref="A2:H2"/>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Views>
    <sheetView showGridLines="0" zoomScaleNormal="100" workbookViewId="0"/>
  </sheetViews>
  <sheetFormatPr defaultColWidth="8.6328125" defaultRowHeight="14.5" x14ac:dyDescent="0.35"/>
  <cols>
    <col min="1" max="1" width="100" customWidth="1"/>
  </cols>
  <sheetData>
    <row r="1" spans="1:8" ht="18" x14ac:dyDescent="0.4">
      <c r="A1" s="26" t="s">
        <v>982</v>
      </c>
      <c r="B1" s="26"/>
      <c r="C1" s="26"/>
      <c r="D1" s="26"/>
      <c r="E1" s="26"/>
      <c r="F1" s="26"/>
    </row>
    <row r="2" spans="1:8" ht="27.75" customHeight="1" x14ac:dyDescent="0.35">
      <c r="A2" s="25" t="s">
        <v>983</v>
      </c>
      <c r="B2" s="25"/>
      <c r="C2" s="25"/>
      <c r="D2" s="25"/>
      <c r="E2" s="25"/>
      <c r="F2" s="25"/>
      <c r="G2" s="25"/>
      <c r="H2" s="25"/>
    </row>
    <row r="5" spans="1:8" x14ac:dyDescent="0.35">
      <c r="A5" s="23" t="s">
        <v>984</v>
      </c>
    </row>
    <row r="6" spans="1:8" x14ac:dyDescent="0.35">
      <c r="A6" s="23" t="s">
        <v>985</v>
      </c>
    </row>
    <row r="7" spans="1:8" x14ac:dyDescent="0.35">
      <c r="A7" s="23" t="s">
        <v>923</v>
      </c>
    </row>
    <row r="8" spans="1:8" x14ac:dyDescent="0.35">
      <c r="A8" s="23" t="s">
        <v>926</v>
      </c>
    </row>
    <row r="9" spans="1:8" x14ac:dyDescent="0.35">
      <c r="A9" s="23" t="s">
        <v>927</v>
      </c>
    </row>
    <row r="10" spans="1:8" x14ac:dyDescent="0.35">
      <c r="A10" s="23" t="s">
        <v>986</v>
      </c>
    </row>
    <row r="11" spans="1:8" x14ac:dyDescent="0.35">
      <c r="A11" s="23" t="s">
        <v>987</v>
      </c>
    </row>
    <row r="12" spans="1:8" x14ac:dyDescent="0.35">
      <c r="A12" s="23" t="s">
        <v>988</v>
      </c>
    </row>
    <row r="13" spans="1:8" x14ac:dyDescent="0.35">
      <c r="A13" s="23" t="s">
        <v>989</v>
      </c>
    </row>
    <row r="14" spans="1:8" x14ac:dyDescent="0.35">
      <c r="A14" s="23" t="s">
        <v>920</v>
      </c>
    </row>
    <row r="15" spans="1:8" x14ac:dyDescent="0.35">
      <c r="A15" s="23"/>
    </row>
    <row r="16" spans="1:8" x14ac:dyDescent="0.35">
      <c r="A16" s="23" t="s">
        <v>990</v>
      </c>
    </row>
    <row r="17" spans="1:1" x14ac:dyDescent="0.35">
      <c r="A17" s="23" t="s">
        <v>991</v>
      </c>
    </row>
    <row r="18" spans="1:1" x14ac:dyDescent="0.35">
      <c r="A18" s="23" t="s">
        <v>992</v>
      </c>
    </row>
    <row r="19" spans="1:1" x14ac:dyDescent="0.35">
      <c r="A19" s="23" t="s">
        <v>932</v>
      </c>
    </row>
    <row r="20" spans="1:1" x14ac:dyDescent="0.35">
      <c r="A20" s="23"/>
    </row>
    <row r="21" spans="1:1" x14ac:dyDescent="0.35">
      <c r="A21" s="23" t="s">
        <v>993</v>
      </c>
    </row>
    <row r="22" spans="1:1" x14ac:dyDescent="0.35">
      <c r="A22" s="23" t="s">
        <v>994</v>
      </c>
    </row>
    <row r="23" spans="1:1" x14ac:dyDescent="0.35">
      <c r="A23" s="23" t="s">
        <v>995</v>
      </c>
    </row>
    <row r="24" spans="1:1" x14ac:dyDescent="0.35">
      <c r="A24" s="23" t="s">
        <v>996</v>
      </c>
    </row>
    <row r="25" spans="1:1" x14ac:dyDescent="0.35">
      <c r="A25" s="23" t="s">
        <v>935</v>
      </c>
    </row>
    <row r="26" spans="1:1" x14ac:dyDescent="0.35">
      <c r="A26" s="23"/>
    </row>
    <row r="27" spans="1:1" x14ac:dyDescent="0.35">
      <c r="A27" s="23" t="s">
        <v>997</v>
      </c>
    </row>
    <row r="28" spans="1:1" x14ac:dyDescent="0.35">
      <c r="A28" s="23" t="s">
        <v>998</v>
      </c>
    </row>
    <row r="29" spans="1:1" x14ac:dyDescent="0.35">
      <c r="A29" s="23" t="s">
        <v>920</v>
      </c>
    </row>
    <row r="30" spans="1:1" x14ac:dyDescent="0.35">
      <c r="A30" s="23"/>
    </row>
    <row r="31" spans="1:1" x14ac:dyDescent="0.35">
      <c r="A31" s="23" t="s">
        <v>999</v>
      </c>
    </row>
    <row r="32" spans="1:1" x14ac:dyDescent="0.35">
      <c r="A32" s="23" t="s">
        <v>1000</v>
      </c>
    </row>
    <row r="33" spans="1:1" x14ac:dyDescent="0.35">
      <c r="A33" s="23" t="s">
        <v>1001</v>
      </c>
    </row>
    <row r="34" spans="1:1" x14ac:dyDescent="0.35">
      <c r="A34" s="23" t="s">
        <v>1002</v>
      </c>
    </row>
    <row r="35" spans="1:1" x14ac:dyDescent="0.35">
      <c r="A35" s="23" t="s">
        <v>1003</v>
      </c>
    </row>
    <row r="36" spans="1:1" x14ac:dyDescent="0.35">
      <c r="A36" s="23" t="s">
        <v>1004</v>
      </c>
    </row>
    <row r="37" spans="1:1" x14ac:dyDescent="0.35">
      <c r="A37" s="23" t="s">
        <v>1005</v>
      </c>
    </row>
    <row r="38" spans="1:1" x14ac:dyDescent="0.35">
      <c r="A38" s="23" t="s">
        <v>920</v>
      </c>
    </row>
    <row r="39" spans="1:1" x14ac:dyDescent="0.35">
      <c r="A39" s="23"/>
    </row>
    <row r="40" spans="1:1" x14ac:dyDescent="0.35">
      <c r="A40" s="23" t="s">
        <v>1006</v>
      </c>
    </row>
    <row r="41" spans="1:1" x14ac:dyDescent="0.35">
      <c r="A41" s="23" t="s">
        <v>1007</v>
      </c>
    </row>
    <row r="42" spans="1:1" x14ac:dyDescent="0.35">
      <c r="A42" s="23" t="s">
        <v>1008</v>
      </c>
    </row>
    <row r="43" spans="1:1" x14ac:dyDescent="0.35">
      <c r="A43" s="23" t="s">
        <v>1009</v>
      </c>
    </row>
    <row r="44" spans="1:1" x14ac:dyDescent="0.35">
      <c r="A44" s="23" t="s">
        <v>1010</v>
      </c>
    </row>
    <row r="45" spans="1:1" x14ac:dyDescent="0.35">
      <c r="A45" s="23"/>
    </row>
    <row r="46" spans="1:1" x14ac:dyDescent="0.35">
      <c r="A46" s="23" t="s">
        <v>1011</v>
      </c>
    </row>
    <row r="47" spans="1:1" x14ac:dyDescent="0.35">
      <c r="A47" s="23" t="s">
        <v>1012</v>
      </c>
    </row>
    <row r="48" spans="1:1" x14ac:dyDescent="0.35">
      <c r="A48" s="23" t="s">
        <v>1013</v>
      </c>
    </row>
    <row r="49" spans="1:1" x14ac:dyDescent="0.35">
      <c r="A49" s="23"/>
    </row>
    <row r="50" spans="1:1" x14ac:dyDescent="0.35">
      <c r="A50" s="23" t="s">
        <v>1014</v>
      </c>
    </row>
    <row r="51" spans="1:1" x14ac:dyDescent="0.35">
      <c r="A51" s="23" t="s">
        <v>1015</v>
      </c>
    </row>
    <row r="52" spans="1:1" x14ac:dyDescent="0.35">
      <c r="A52" s="23" t="s">
        <v>1016</v>
      </c>
    </row>
    <row r="53" spans="1:1" x14ac:dyDescent="0.35">
      <c r="A53" s="23" t="s">
        <v>965</v>
      </c>
    </row>
    <row r="54" spans="1:1" x14ac:dyDescent="0.35">
      <c r="A54" s="23" t="s">
        <v>1017</v>
      </c>
    </row>
    <row r="55" spans="1:1" x14ac:dyDescent="0.35">
      <c r="A55" s="23" t="s">
        <v>967</v>
      </c>
    </row>
    <row r="56" spans="1:1" x14ac:dyDescent="0.35">
      <c r="A56" s="23" t="s">
        <v>1018</v>
      </c>
    </row>
    <row r="57" spans="1:1" x14ac:dyDescent="0.35">
      <c r="A57" s="23" t="s">
        <v>920</v>
      </c>
    </row>
    <row r="58" spans="1:1" x14ac:dyDescent="0.35">
      <c r="A58" s="23"/>
    </row>
    <row r="59" spans="1:1" x14ac:dyDescent="0.35">
      <c r="A59" s="23" t="s">
        <v>1019</v>
      </c>
    </row>
    <row r="60" spans="1:1" x14ac:dyDescent="0.35">
      <c r="A60" s="23" t="s">
        <v>1020</v>
      </c>
    </row>
    <row r="61" spans="1:1" x14ac:dyDescent="0.35">
      <c r="A61" s="23" t="s">
        <v>1021</v>
      </c>
    </row>
    <row r="62" spans="1:1" x14ac:dyDescent="0.35">
      <c r="A62" s="23" t="s">
        <v>1008</v>
      </c>
    </row>
    <row r="63" spans="1:1" x14ac:dyDescent="0.35">
      <c r="A63" s="23" t="s">
        <v>1022</v>
      </c>
    </row>
    <row r="64" spans="1:1" x14ac:dyDescent="0.35">
      <c r="A64" s="23" t="s">
        <v>1023</v>
      </c>
    </row>
    <row r="65" spans="1:1" x14ac:dyDescent="0.35">
      <c r="A65" s="23" t="s">
        <v>1018</v>
      </c>
    </row>
    <row r="66" spans="1:1" x14ac:dyDescent="0.35">
      <c r="A66" s="23" t="s">
        <v>1024</v>
      </c>
    </row>
    <row r="67" spans="1:1" x14ac:dyDescent="0.35">
      <c r="A67" s="23" t="s">
        <v>920</v>
      </c>
    </row>
  </sheetData>
  <mergeCells count="2">
    <mergeCell ref="A1:F1"/>
    <mergeCell ref="A2:H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S1_Interface_DataTypes</vt:lpstr>
      <vt:lpstr>S2_NamedRanges_Validation</vt:lpstr>
      <vt:lpstr>S3_Sort_Filter</vt:lpstr>
      <vt:lpstr>S4_AdvFilter_Views</vt:lpstr>
      <vt:lpstr>S5_Text_Functions_1</vt:lpstr>
      <vt:lpstr>S6_Text_Cleaning</vt:lpstr>
      <vt:lpstr>S7_Date_Time</vt:lpstr>
      <vt:lpstr>S8_Logical</vt:lpstr>
      <vt:lpstr>S9_VLOOKUP_HLOOKUP</vt:lpstr>
      <vt:lpstr>S10_XLOOKUP</vt:lpstr>
      <vt:lpstr>S11_INDEX_MATCH</vt:lpstr>
      <vt:lpstr>S12_Conditional_Formatting</vt:lpstr>
      <vt:lpstr>S13_PivotTables_Basics</vt:lpstr>
      <vt:lpstr>S14_PivotTables_Advanced</vt:lpstr>
      <vt:lpstr>S15-16_PivotCharts_Dashboards</vt:lpstr>
      <vt:lpstr>S17_PowerQuery_Basics</vt:lpstr>
      <vt:lpstr>S18_PowerQuery_Merge_Append</vt:lpstr>
      <vt:lpstr>S19_Dashboard_Design</vt:lpstr>
      <vt:lpstr>S20_Superstore_CaseStudy</vt:lpstr>
      <vt:lpstr>S21_Integration_MiniDashboard</vt:lpstr>
      <vt:lpstr>S22_Macros_Recording</vt:lpstr>
      <vt:lpstr>S23_VBA_Basics</vt:lpstr>
      <vt:lpstr>S24_VBA_Automation_Project</vt:lpstr>
      <vt:lpstr>TopArtists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Hemant patil</cp:lastModifiedBy>
  <cp:revision>1</cp:revision>
  <dcterms:created xsi:type="dcterms:W3CDTF">2026-07-19T00:59:34Z</dcterms:created>
  <dcterms:modified xsi:type="dcterms:W3CDTF">2026-07-19T01:12:09Z</dcterms:modified>
  <dc:language>en-US</dc:language>
</cp:coreProperties>
</file>