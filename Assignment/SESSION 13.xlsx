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88C59192-8836-4EC7-A94E-7377726AA721}" xr6:coauthVersionLast="47" xr6:coauthVersionMax="47" xr10:uidLastSave="{00000000-0000-0000-0000-000000000000}"/>
  <bookViews>
    <workbookView xWindow="-120" yWindow="-120" windowWidth="20730" windowHeight="11160" xr2:uid="{8D2AD5EE-5BC9-415E-9531-BAEE43202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3" i="1" l="1"/>
  <c r="B88" i="1"/>
  <c r="B87" i="1"/>
  <c r="B86" i="1"/>
  <c r="B85" i="1"/>
  <c r="B84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B66" i="1"/>
  <c r="B65" i="1"/>
  <c r="B64" i="1"/>
  <c r="B63" i="1"/>
  <c r="B62" i="1"/>
</calcChain>
</file>

<file path=xl/sharedStrings.xml><?xml version="1.0" encoding="utf-8"?>
<sst xmlns="http://schemas.openxmlformats.org/spreadsheetml/2006/main" count="244" uniqueCount="86">
  <si>
    <t>Session 13 - Pivot Tables (Part 1: Basics)</t>
  </si>
  <si>
    <t>Note on Pivot Tables: true interactive Excel PivotTables are built inside Excel itself from a live cache and can't be authored reliably by an external script. This sheet gives you the clean source data plus the exact click-path, AND a formula-driven summary table (SUMIFS/COUNTIFS) that reproduces the same numbers so you can check your own PivotTable against it.</t>
  </si>
  <si>
    <t>Order ID</t>
  </si>
  <si>
    <t>Restaurant</t>
  </si>
  <si>
    <t>City</t>
  </si>
  <si>
    <t>Delivery Partner</t>
  </si>
  <si>
    <t>Amount</t>
  </si>
  <si>
    <t>ORD3000</t>
  </si>
  <si>
    <t>McDonald's</t>
  </si>
  <si>
    <t>Surat</t>
  </si>
  <si>
    <t>Farhan S.</t>
  </si>
  <si>
    <t>ORD3001</t>
  </si>
  <si>
    <t>Domino's</t>
  </si>
  <si>
    <t>Ahmedabad</t>
  </si>
  <si>
    <t>Divya R.</t>
  </si>
  <si>
    <t>ORD3002</t>
  </si>
  <si>
    <t>Mumbai</t>
  </si>
  <si>
    <t>Ravi K.</t>
  </si>
  <si>
    <t>ORD3003</t>
  </si>
  <si>
    <t>KFC</t>
  </si>
  <si>
    <t>ORD3004</t>
  </si>
  <si>
    <t>Barbeque Nation</t>
  </si>
  <si>
    <t>Sunita P.</t>
  </si>
  <si>
    <t>ORD3005</t>
  </si>
  <si>
    <t>ORD3006</t>
  </si>
  <si>
    <t>ORD3007</t>
  </si>
  <si>
    <t>ORD3008</t>
  </si>
  <si>
    <t>Pizza Hut</t>
  </si>
  <si>
    <t>Vadodara</t>
  </si>
  <si>
    <t>ORD3009</t>
  </si>
  <si>
    <t>Burger King</t>
  </si>
  <si>
    <t>Aman J.</t>
  </si>
  <si>
    <t>ORD3010</t>
  </si>
  <si>
    <t>ORD3011</t>
  </si>
  <si>
    <t>ORD3012</t>
  </si>
  <si>
    <t>ORD3013</t>
  </si>
  <si>
    <t>Rajkot</t>
  </si>
  <si>
    <t>ORD3014</t>
  </si>
  <si>
    <t>ORD3015</t>
  </si>
  <si>
    <t>ORD3016</t>
  </si>
  <si>
    <t>ORD3017</t>
  </si>
  <si>
    <t>Haldiram's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</si>
  <si>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</si>
  <si>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</si>
  <si>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</si>
  <si>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</si>
  <si>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</si>
  <si>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</si>
  <si>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</si>
  <si>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</si>
  <si>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</si>
  <si>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</si>
  <si>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</si>
  <si>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</si>
  <si>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</si>
  <si>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</si>
  <si>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Subway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</si>
  <si>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</si>
  <si>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</si>
  <si>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</si>
  <si>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</si>
  <si>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</si>
  <si>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</si>
  <si>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</si>
  <si>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</si>
  <si>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</si>
  <si>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</si>
  <si>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</si>
  <si>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</si>
  <si>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</si>
  <si>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</si>
  <si>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</si>
  <si>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</si>
  <si>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</si>
  <si>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</si>
  <si>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Click-path: select the table -&gt; Insert &gt; PivotTable -&gt; New Worksheet -&gt; drag 'City' to Rows, 'Amount' to Values (Sum)</t>
  </si>
  <si>
    <t>Formula-equivalent summary: SUM of Amount by City</t>
  </si>
  <si>
    <t>Total Amount</t>
  </si>
  <si>
    <t>Task 2: Restaurant (rows) x City (columns) - SUM of Amount</t>
  </si>
  <si>
    <t>Task 3: COUNT of orders delivered by each Delivery Partner</t>
  </si>
  <si>
    <t>Order Count</t>
  </si>
  <si>
    <t>Task 4: Filtered view - City = Ahmedabad only</t>
  </si>
  <si>
    <t>City Filter:</t>
  </si>
  <si>
    <t>Total Amount for filtered city:</t>
  </si>
  <si>
    <t>In an actual PivotTable, drag 'City' into the Filters area, then pick 'Ahmedabad' from its dropdown - every Value cell recalculates instantly for that one city only, exactly like the formula above.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</si>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</sst>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8"/>
      <color rgb="FFC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0" xfId="0" applyFont="1"/>
    <xf numFmtId="0" fontId="4" fillId="0" borderId="0" xfId="0" applyFont="1"/>
    <xf numFmtId="0" fontId="4" fillId="0" borderId="1" xfId="0" applyFont="1" applyFill="1" applyBorder="1"/>
    <xf numFmtId="0" fontId="5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7B96-1CCD-4C75-AD61-E0EBC9EC46E7}">
  <dimension ref="A1:G97"/>
  <sheetViews>
    <sheetView tabSelected="1" workbookViewId="0">
      <selection activeCell="H3" sqref="H3"/>
    </sheetView>
  </sheetViews>
  <sheetFormatPr defaultColWidth="8.5703125" defaultRowHeight="15" x14ac:dyDescent="0.25"/>
  <cols>
    <col min="1" max="1" width="28" bestFit="1" customWidth="1"/>
    <col min="2" max="2" width="16" customWidth="1"/>
    <col min="3" max="3" width="14" customWidth="1"/>
    <col min="4" max="4" width="16" customWidth="1"/>
    <col min="5" max="5" width="12" customWidth="1"/>
  </cols>
  <sheetData>
    <row r="1" spans="1:7" ht="15.75" x14ac:dyDescent="0.25">
      <c r="A1" s="2" t="s">
        <v>0</v>
      </c>
      <c r="B1" s="2"/>
      <c r="C1" s="2"/>
      <c r="D1" s="2"/>
      <c r="E1" s="2"/>
      <c r="F1" s="2"/>
    </row>
    <row r="2" spans="1:7" ht="15.75" x14ac:dyDescent="0.25">
      <c r="A2" s="3"/>
      <c r="B2" s="3"/>
      <c r="C2" s="3"/>
      <c r="D2" s="3"/>
      <c r="E2" s="3"/>
      <c r="F2" s="3"/>
    </row>
    <row r="3" spans="1:7" ht="34.5" customHeight="1" x14ac:dyDescent="0.25">
      <c r="A3" s="4" t="s">
        <v>1</v>
      </c>
      <c r="B3" s="4"/>
      <c r="C3" s="4"/>
      <c r="D3" s="4"/>
      <c r="E3" s="4"/>
      <c r="F3" s="4"/>
      <c r="G3" s="4"/>
    </row>
    <row r="5" spans="1:7" ht="30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7" x14ac:dyDescent="0.25">
      <c r="A6" s="6" t="s">
        <v>7</v>
      </c>
      <c r="B6" s="6" t="s">
        <v>8</v>
      </c>
      <c r="C6" s="6" t="s">
        <v>9</v>
      </c>
      <c r="D6" s="6" t="s">
        <v>10</v>
      </c>
      <c r="E6" s="6">
        <v>1533</v>
      </c>
    </row>
    <row r="7" spans="1:7" x14ac:dyDescent="0.25">
      <c r="A7" s="6" t="s">
        <v>11</v>
      </c>
      <c r="B7" s="6" t="s">
        <v>12</v>
      </c>
      <c r="C7" s="6" t="s">
        <v>13</v>
      </c>
      <c r="D7" s="6" t="s">
        <v>14</v>
      </c>
      <c r="E7" s="6">
        <v>392</v>
      </c>
    </row>
    <row r="8" spans="1:7" x14ac:dyDescent="0.25">
      <c r="A8" s="6" t="s">
        <v>15</v>
      </c>
      <c r="B8" s="6" t="s">
        <v>8</v>
      </c>
      <c r="C8" s="6" t="s">
        <v>16</v>
      </c>
      <c r="D8" s="6" t="s">
        <v>17</v>
      </c>
      <c r="E8" s="6">
        <v>1239</v>
      </c>
    </row>
    <row r="9" spans="1:7" x14ac:dyDescent="0.25">
      <c r="A9" s="6" t="s">
        <v>18</v>
      </c>
      <c r="B9" s="6" t="s">
        <v>19</v>
      </c>
      <c r="C9" s="6" t="s">
        <v>13</v>
      </c>
      <c r="D9" s="6" t="s">
        <v>17</v>
      </c>
      <c r="E9" s="6">
        <v>1088</v>
      </c>
    </row>
    <row r="10" spans="1:7" x14ac:dyDescent="0.25">
      <c r="A10" s="6" t="s">
        <v>20</v>
      </c>
      <c r="B10" s="6" t="s">
        <v>21</v>
      </c>
      <c r="C10" s="6" t="s">
        <v>13</v>
      </c>
      <c r="D10" s="6" t="s">
        <v>22</v>
      </c>
      <c r="E10" s="6">
        <v>385</v>
      </c>
    </row>
    <row r="11" spans="1:7" x14ac:dyDescent="0.25">
      <c r="A11" s="6" t="s">
        <v>23</v>
      </c>
      <c r="B11" s="6" t="s">
        <v>21</v>
      </c>
      <c r="C11" s="6" t="s">
        <v>13</v>
      </c>
      <c r="D11" s="6" t="s">
        <v>14</v>
      </c>
      <c r="E11" s="6">
        <v>453</v>
      </c>
    </row>
    <row r="12" spans="1:7" x14ac:dyDescent="0.25">
      <c r="A12" s="6" t="s">
        <v>24</v>
      </c>
      <c r="B12" s="6" t="s">
        <v>19</v>
      </c>
      <c r="C12" s="6" t="s">
        <v>16</v>
      </c>
      <c r="D12" s="6" t="s">
        <v>17</v>
      </c>
      <c r="E12" s="6">
        <v>1381</v>
      </c>
    </row>
    <row r="13" spans="1:7" x14ac:dyDescent="0.25">
      <c r="A13" s="6" t="s">
        <v>25</v>
      </c>
      <c r="B13" s="6" t="s">
        <v>21</v>
      </c>
      <c r="C13" s="6" t="s">
        <v>13</v>
      </c>
      <c r="D13" s="6" t="s">
        <v>22</v>
      </c>
      <c r="E13" s="6">
        <v>295</v>
      </c>
    </row>
    <row r="14" spans="1:7" x14ac:dyDescent="0.25">
      <c r="A14" s="6" t="s">
        <v>26</v>
      </c>
      <c r="B14" s="6" t="s">
        <v>27</v>
      </c>
      <c r="C14" s="6" t="s">
        <v>28</v>
      </c>
      <c r="D14" s="6" t="s">
        <v>10</v>
      </c>
      <c r="E14" s="6">
        <v>495</v>
      </c>
    </row>
    <row r="15" spans="1:7" x14ac:dyDescent="0.25">
      <c r="A15" s="6" t="s">
        <v>29</v>
      </c>
      <c r="B15" s="6" t="s">
        <v>30</v>
      </c>
      <c r="C15" s="6" t="s">
        <v>16</v>
      </c>
      <c r="D15" s="6" t="s">
        <v>31</v>
      </c>
      <c r="E15" s="6">
        <v>1347</v>
      </c>
    </row>
    <row r="16" spans="1:7" x14ac:dyDescent="0.25">
      <c r="A16" s="6" t="s">
        <v>32</v>
      </c>
      <c r="B16" s="6" t="s">
        <v>27</v>
      </c>
      <c r="C16" s="6" t="s">
        <v>13</v>
      </c>
      <c r="D16" s="6" t="s">
        <v>14</v>
      </c>
      <c r="E16" s="6">
        <v>1369</v>
      </c>
    </row>
    <row r="17" spans="1:5" x14ac:dyDescent="0.25">
      <c r="A17" s="6" t="s">
        <v>33</v>
      </c>
      <c r="B17" s="6" t="s">
        <v>19</v>
      </c>
      <c r="C17" s="6" t="s">
        <v>28</v>
      </c>
      <c r="D17" s="6" t="s">
        <v>17</v>
      </c>
      <c r="E17" s="6">
        <v>1321</v>
      </c>
    </row>
    <row r="18" spans="1:5" x14ac:dyDescent="0.25">
      <c r="A18" s="6" t="s">
        <v>34</v>
      </c>
      <c r="B18" s="6" t="s">
        <v>30</v>
      </c>
      <c r="C18" s="6" t="s">
        <v>16</v>
      </c>
      <c r="D18" s="6" t="s">
        <v>17</v>
      </c>
      <c r="E18" s="6">
        <v>1467</v>
      </c>
    </row>
    <row r="19" spans="1:5" x14ac:dyDescent="0.25">
      <c r="A19" s="6" t="s">
        <v>35</v>
      </c>
      <c r="B19" s="6" t="s">
        <v>19</v>
      </c>
      <c r="C19" s="6" t="s">
        <v>36</v>
      </c>
      <c r="D19" s="6" t="s">
        <v>14</v>
      </c>
      <c r="E19" s="6">
        <v>1075</v>
      </c>
    </row>
    <row r="20" spans="1:5" x14ac:dyDescent="0.25">
      <c r="A20" s="6" t="s">
        <v>37</v>
      </c>
      <c r="B20" s="6" t="s">
        <v>8</v>
      </c>
      <c r="C20" s="6" t="s">
        <v>36</v>
      </c>
      <c r="D20" s="6" t="s">
        <v>14</v>
      </c>
      <c r="E20" s="6">
        <v>1128</v>
      </c>
    </row>
    <row r="21" spans="1:5" x14ac:dyDescent="0.25">
      <c r="A21" s="6" t="s">
        <v>38</v>
      </c>
      <c r="B21" s="6" t="s">
        <v>8</v>
      </c>
      <c r="C21" s="6" t="s">
        <v>28</v>
      </c>
      <c r="D21" s="6" t="s">
        <v>22</v>
      </c>
      <c r="E21" s="6">
        <v>568</v>
      </c>
    </row>
    <row r="22" spans="1:5" x14ac:dyDescent="0.25">
      <c r="A22" s="6" t="s">
        <v>39</v>
      </c>
      <c r="B22" s="6" t="s">
        <v>19</v>
      </c>
      <c r="C22" s="6" t="s">
        <v>13</v>
      </c>
      <c r="D22" s="6" t="s">
        <v>14</v>
      </c>
      <c r="E22" s="6">
        <v>814</v>
      </c>
    </row>
    <row r="23" spans="1:5" x14ac:dyDescent="0.25">
      <c r="A23" s="6" t="s">
        <v>40</v>
      </c>
      <c r="B23" s="6" t="s">
        <v>41</v>
      </c>
      <c r="C23" s="6" t="s">
        <v>28</v>
      </c>
      <c r="D23" s="6" t="s">
        <v>10</v>
      </c>
      <c r="E23" s="6">
        <v>789</v>
      </c>
    </row>
    <row r="24" spans="1:5" x14ac:dyDescent="0.25">
      <c r="A24" s="6" t="s">
        <v>42</v>
      </c>
      <c r="B24" s="6" t="s">
        <v>30</v>
      </c>
      <c r="C24" s="6" t="s">
        <v>13</v>
      </c>
      <c r="D24" s="6" t="s">
        <v>14</v>
      </c>
      <c r="E24" s="6">
        <v>1056</v>
      </c>
    </row>
    <row r="25" spans="1:5" x14ac:dyDescent="0.25">
      <c r="A25" s="6" t="s">
        <v>43</v>
      </c>
      <c r="B25" s="6" t="s">
        <v>27</v>
      </c>
      <c r="C25" s="6" t="s">
        <v>28</v>
      </c>
      <c r="D25" s="6" t="s">
        <v>22</v>
      </c>
      <c r="E25" s="6">
        <v>1201</v>
      </c>
    </row>
    <row r="26" spans="1:5" x14ac:dyDescent="0.25">
      <c r="A26" s="6" t="s">
        <v>44</v>
      </c>
      <c r="B26" s="6" t="s">
        <v>21</v>
      </c>
      <c r="C26" s="6" t="s">
        <v>13</v>
      </c>
      <c r="D26" s="6" t="s">
        <v>17</v>
      </c>
      <c r="E26" s="6">
        <v>1765</v>
      </c>
    </row>
    <row r="27" spans="1:5" x14ac:dyDescent="0.25">
      <c r="A27" s="6" t="s">
        <v>45</v>
      </c>
      <c r="B27" s="6" t="s">
        <v>8</v>
      </c>
      <c r="C27" s="6" t="s">
        <v>28</v>
      </c>
      <c r="D27" s="6" t="s">
        <v>31</v>
      </c>
      <c r="E27" s="6">
        <v>1417</v>
      </c>
    </row>
    <row r="28" spans="1:5" x14ac:dyDescent="0.25">
      <c r="A28" s="6" t="s">
        <v>46</v>
      </c>
      <c r="B28" s="6" t="s">
        <v>41</v>
      </c>
      <c r="C28" s="6" t="s">
        <v>16</v>
      </c>
      <c r="D28" s="6" t="s">
        <v>10</v>
      </c>
      <c r="E28" s="6">
        <v>340</v>
      </c>
    </row>
    <row r="29" spans="1:5" x14ac:dyDescent="0.25">
      <c r="A29" s="6" t="s">
        <v>47</v>
      </c>
      <c r="B29" s="6" t="s">
        <v>30</v>
      </c>
      <c r="C29" s="6" t="s">
        <v>28</v>
      </c>
      <c r="D29" s="6" t="s">
        <v>10</v>
      </c>
      <c r="E29" s="6">
        <v>1627</v>
      </c>
    </row>
    <row r="30" spans="1:5" x14ac:dyDescent="0.25">
      <c r="A30" s="6" t="s">
        <v>48</v>
      </c>
      <c r="B30" s="6" t="s">
        <v>30</v>
      </c>
      <c r="C30" s="6" t="s">
        <v>13</v>
      </c>
      <c r="D30" s="6" t="s">
        <v>31</v>
      </c>
      <c r="E30" s="6">
        <v>1525</v>
      </c>
    </row>
    <row r="31" spans="1:5" x14ac:dyDescent="0.25">
      <c r="A31" s="6" t="s">
        <v>49</v>
      </c>
      <c r="B31" s="6" t="s">
        <v>41</v>
      </c>
      <c r="C31" s="6" t="s">
        <v>28</v>
      </c>
      <c r="D31" s="6" t="s">
        <v>10</v>
      </c>
      <c r="E31" s="6">
        <v>1569</v>
      </c>
    </row>
    <row r="32" spans="1:5" x14ac:dyDescent="0.25">
      <c r="A32" s="6" t="s">
        <v>50</v>
      </c>
      <c r="B32" s="6" t="s">
        <v>8</v>
      </c>
      <c r="C32" s="6" t="s">
        <v>13</v>
      </c>
      <c r="D32" s="6" t="s">
        <v>10</v>
      </c>
      <c r="E32" s="6">
        <v>927</v>
      </c>
    </row>
    <row r="33" spans="1:5" x14ac:dyDescent="0.25">
      <c r="A33" s="6" t="s">
        <v>51</v>
      </c>
      <c r="B33" s="6" t="s">
        <v>27</v>
      </c>
      <c r="C33" s="6" t="s">
        <v>16</v>
      </c>
      <c r="D33" s="6" t="s">
        <v>17</v>
      </c>
      <c r="E33" s="6">
        <v>1211</v>
      </c>
    </row>
    <row r="34" spans="1:5" x14ac:dyDescent="0.25">
      <c r="A34" s="6" t="s">
        <v>52</v>
      </c>
      <c r="B34" s="6" t="s">
        <v>12</v>
      </c>
      <c r="C34" s="6" t="s">
        <v>9</v>
      </c>
      <c r="D34" s="6" t="s">
        <v>31</v>
      </c>
      <c r="E34" s="6">
        <v>464</v>
      </c>
    </row>
    <row r="35" spans="1:5" x14ac:dyDescent="0.25">
      <c r="A35" s="6" t="s">
        <v>53</v>
      </c>
      <c r="B35" s="6" t="s">
        <v>19</v>
      </c>
      <c r="C35" s="6" t="s">
        <v>36</v>
      </c>
      <c r="D35" s="6" t="s">
        <v>10</v>
      </c>
      <c r="E35" s="6">
        <v>1216</v>
      </c>
    </row>
    <row r="36" spans="1:5" x14ac:dyDescent="0.25">
      <c r="A36" s="6" t="s">
        <v>54</v>
      </c>
      <c r="B36" s="6" t="s">
        <v>30</v>
      </c>
      <c r="C36" s="6" t="s">
        <v>9</v>
      </c>
      <c r="D36" s="6" t="s">
        <v>10</v>
      </c>
      <c r="E36" s="6">
        <v>1022</v>
      </c>
    </row>
    <row r="37" spans="1:5" x14ac:dyDescent="0.25">
      <c r="A37" s="6" t="s">
        <v>55</v>
      </c>
      <c r="B37" s="6" t="s">
        <v>56</v>
      </c>
      <c r="C37" s="6" t="s">
        <v>9</v>
      </c>
      <c r="D37" s="6" t="s">
        <v>10</v>
      </c>
      <c r="E37" s="6">
        <v>1326</v>
      </c>
    </row>
    <row r="38" spans="1:5" x14ac:dyDescent="0.25">
      <c r="A38" s="6" t="s">
        <v>57</v>
      </c>
      <c r="B38" s="6" t="s">
        <v>56</v>
      </c>
      <c r="C38" s="6" t="s">
        <v>36</v>
      </c>
      <c r="D38" s="6" t="s">
        <v>31</v>
      </c>
      <c r="E38" s="6">
        <v>1598</v>
      </c>
    </row>
    <row r="39" spans="1:5" x14ac:dyDescent="0.25">
      <c r="A39" s="6" t="s">
        <v>58</v>
      </c>
      <c r="B39" s="6" t="s">
        <v>21</v>
      </c>
      <c r="C39" s="6" t="s">
        <v>9</v>
      </c>
      <c r="D39" s="6" t="s">
        <v>22</v>
      </c>
      <c r="E39" s="6">
        <v>369</v>
      </c>
    </row>
    <row r="40" spans="1:5" x14ac:dyDescent="0.25">
      <c r="A40" s="6" t="s">
        <v>59</v>
      </c>
      <c r="B40" s="6" t="s">
        <v>27</v>
      </c>
      <c r="C40" s="6" t="s">
        <v>9</v>
      </c>
      <c r="D40" s="6" t="s">
        <v>22</v>
      </c>
      <c r="E40" s="6">
        <v>1548</v>
      </c>
    </row>
    <row r="41" spans="1:5" x14ac:dyDescent="0.25">
      <c r="A41" s="6" t="s">
        <v>60</v>
      </c>
      <c r="B41" s="6" t="s">
        <v>19</v>
      </c>
      <c r="C41" s="6" t="s">
        <v>13</v>
      </c>
      <c r="D41" s="6" t="s">
        <v>10</v>
      </c>
      <c r="E41" s="6">
        <v>1406</v>
      </c>
    </row>
    <row r="42" spans="1:5" x14ac:dyDescent="0.25">
      <c r="A42" s="6" t="s">
        <v>61</v>
      </c>
      <c r="B42" s="6" t="s">
        <v>27</v>
      </c>
      <c r="C42" s="6" t="s">
        <v>28</v>
      </c>
      <c r="D42" s="6" t="s">
        <v>31</v>
      </c>
      <c r="E42" s="6">
        <v>208</v>
      </c>
    </row>
    <row r="43" spans="1:5" x14ac:dyDescent="0.25">
      <c r="A43" s="6" t="s">
        <v>62</v>
      </c>
      <c r="B43" s="6" t="s">
        <v>27</v>
      </c>
      <c r="C43" s="6" t="s">
        <v>36</v>
      </c>
      <c r="D43" s="6" t="s">
        <v>14</v>
      </c>
      <c r="E43" s="6">
        <v>956</v>
      </c>
    </row>
    <row r="44" spans="1:5" x14ac:dyDescent="0.25">
      <c r="A44" s="6" t="s">
        <v>63</v>
      </c>
      <c r="B44" s="6" t="s">
        <v>8</v>
      </c>
      <c r="C44" s="6" t="s">
        <v>9</v>
      </c>
      <c r="D44" s="6" t="s">
        <v>14</v>
      </c>
      <c r="E44" s="6">
        <v>1464</v>
      </c>
    </row>
    <row r="45" spans="1:5" x14ac:dyDescent="0.25">
      <c r="A45" s="6" t="s">
        <v>64</v>
      </c>
      <c r="B45" s="6" t="s">
        <v>12</v>
      </c>
      <c r="C45" s="6" t="s">
        <v>36</v>
      </c>
      <c r="D45" s="6" t="s">
        <v>14</v>
      </c>
      <c r="E45" s="6">
        <v>1003</v>
      </c>
    </row>
    <row r="46" spans="1:5" x14ac:dyDescent="0.25">
      <c r="A46" s="6" t="s">
        <v>65</v>
      </c>
      <c r="B46" s="6" t="s">
        <v>21</v>
      </c>
      <c r="C46" s="6" t="s">
        <v>36</v>
      </c>
      <c r="D46" s="6" t="s">
        <v>10</v>
      </c>
      <c r="E46" s="6">
        <v>412</v>
      </c>
    </row>
    <row r="47" spans="1:5" x14ac:dyDescent="0.25">
      <c r="A47" s="6" t="s">
        <v>66</v>
      </c>
      <c r="B47" s="6" t="s">
        <v>41</v>
      </c>
      <c r="C47" s="6" t="s">
        <v>36</v>
      </c>
      <c r="D47" s="6" t="s">
        <v>17</v>
      </c>
      <c r="E47" s="6">
        <v>590</v>
      </c>
    </row>
    <row r="48" spans="1:5" x14ac:dyDescent="0.25">
      <c r="A48" s="6" t="s">
        <v>67</v>
      </c>
      <c r="B48" s="6" t="s">
        <v>30</v>
      </c>
      <c r="C48" s="6" t="s">
        <v>9</v>
      </c>
      <c r="D48" s="6" t="s">
        <v>10</v>
      </c>
      <c r="E48" s="6">
        <v>532</v>
      </c>
    </row>
    <row r="49" spans="1:6" x14ac:dyDescent="0.25">
      <c r="A49" s="6" t="s">
        <v>68</v>
      </c>
      <c r="B49" s="6" t="s">
        <v>30</v>
      </c>
      <c r="C49" s="6" t="s">
        <v>28</v>
      </c>
      <c r="D49" s="6" t="s">
        <v>14</v>
      </c>
      <c r="E49" s="6">
        <v>307</v>
      </c>
    </row>
    <row r="50" spans="1:6" x14ac:dyDescent="0.25">
      <c r="A50" s="6" t="s">
        <v>69</v>
      </c>
      <c r="B50" s="6" t="s">
        <v>30</v>
      </c>
      <c r="C50" s="6" t="s">
        <v>13</v>
      </c>
      <c r="D50" s="6" t="s">
        <v>14</v>
      </c>
      <c r="E50" s="6">
        <v>509</v>
      </c>
    </row>
    <row r="51" spans="1:6" x14ac:dyDescent="0.25">
      <c r="A51" s="6" t="s">
        <v>70</v>
      </c>
      <c r="B51" s="6" t="s">
        <v>30</v>
      </c>
      <c r="C51" s="6" t="s">
        <v>28</v>
      </c>
      <c r="D51" s="6" t="s">
        <v>14</v>
      </c>
      <c r="E51" s="6">
        <v>252</v>
      </c>
    </row>
    <row r="52" spans="1:6" x14ac:dyDescent="0.25">
      <c r="A52" s="6" t="s">
        <v>71</v>
      </c>
      <c r="B52" s="6" t="s">
        <v>30</v>
      </c>
      <c r="C52" s="6" t="s">
        <v>9</v>
      </c>
      <c r="D52" s="6" t="s">
        <v>14</v>
      </c>
      <c r="E52" s="6">
        <v>970</v>
      </c>
    </row>
    <row r="53" spans="1:6" x14ac:dyDescent="0.25">
      <c r="A53" s="6" t="s">
        <v>72</v>
      </c>
      <c r="B53" s="6" t="s">
        <v>27</v>
      </c>
      <c r="C53" s="6" t="s">
        <v>28</v>
      </c>
      <c r="D53" s="6" t="s">
        <v>31</v>
      </c>
      <c r="E53" s="6">
        <v>1433</v>
      </c>
    </row>
    <row r="54" spans="1:6" x14ac:dyDescent="0.25">
      <c r="A54" s="6" t="s">
        <v>73</v>
      </c>
      <c r="B54" s="6" t="s">
        <v>8</v>
      </c>
      <c r="C54" s="6" t="s">
        <v>36</v>
      </c>
      <c r="D54" s="6" t="s">
        <v>17</v>
      </c>
      <c r="E54" s="6">
        <v>436</v>
      </c>
    </row>
    <row r="55" spans="1:6" x14ac:dyDescent="0.25">
      <c r="A55" s="6" t="s">
        <v>74</v>
      </c>
      <c r="B55" s="6" t="s">
        <v>41</v>
      </c>
      <c r="C55" s="6" t="s">
        <v>36</v>
      </c>
      <c r="D55" s="6" t="s">
        <v>10</v>
      </c>
      <c r="E55" s="6">
        <v>1190</v>
      </c>
    </row>
    <row r="58" spans="1:6" x14ac:dyDescent="0.25">
      <c r="A58" s="7" t="s">
        <v>75</v>
      </c>
      <c r="B58" s="7"/>
      <c r="C58" s="7"/>
      <c r="D58" s="7"/>
      <c r="E58" s="7"/>
      <c r="F58" s="7"/>
    </row>
    <row r="59" spans="1:6" x14ac:dyDescent="0.25">
      <c r="A59" s="7" t="s">
        <v>76</v>
      </c>
      <c r="B59" s="7"/>
      <c r="C59" s="7"/>
      <c r="D59" s="7"/>
      <c r="E59" s="7"/>
      <c r="F59" s="7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5" t="s">
        <v>4</v>
      </c>
      <c r="B61" s="5" t="s">
        <v>77</v>
      </c>
    </row>
    <row r="62" spans="1:6" x14ac:dyDescent="0.25">
      <c r="A62" s="6" t="s">
        <v>13</v>
      </c>
      <c r="B62" s="6">
        <f>SUMIF($C$6:$C$56,A62,$E$6:$E$56)</f>
        <v>11984</v>
      </c>
    </row>
    <row r="63" spans="1:6" x14ac:dyDescent="0.25">
      <c r="A63" s="6" t="s">
        <v>9</v>
      </c>
      <c r="B63" s="6">
        <f>SUMIF($C$6:$C$56,A63,$E$6:$E$56)</f>
        <v>9228</v>
      </c>
    </row>
    <row r="64" spans="1:6" x14ac:dyDescent="0.25">
      <c r="A64" s="6" t="s">
        <v>28</v>
      </c>
      <c r="B64" s="6">
        <f>SUMIF($C$6:$C$56,A64,$E$6:$E$56)</f>
        <v>11187</v>
      </c>
    </row>
    <row r="65" spans="1:6" x14ac:dyDescent="0.25">
      <c r="A65" s="6" t="s">
        <v>36</v>
      </c>
      <c r="B65" s="6">
        <f>SUMIF($C$6:$C$56,A65,$E$6:$E$56)</f>
        <v>9604</v>
      </c>
    </row>
    <row r="66" spans="1:6" x14ac:dyDescent="0.25">
      <c r="A66" s="6" t="s">
        <v>16</v>
      </c>
      <c r="B66" s="6">
        <f>SUMIF($C$6:$C$56,A66,$E$6:$E$56)</f>
        <v>6985</v>
      </c>
    </row>
    <row r="69" spans="1:6" x14ac:dyDescent="0.25">
      <c r="A69" s="7" t="s">
        <v>78</v>
      </c>
      <c r="B69" s="7"/>
      <c r="C69" s="7"/>
      <c r="D69" s="7"/>
      <c r="E69" s="7"/>
      <c r="F69" s="7"/>
    </row>
    <row r="70" spans="1:6" x14ac:dyDescent="0.25">
      <c r="A70" s="9" t="s">
        <v>3</v>
      </c>
      <c r="B70" s="9" t="s">
        <v>13</v>
      </c>
      <c r="C70" s="9" t="s">
        <v>9</v>
      </c>
      <c r="D70" s="9" t="s">
        <v>28</v>
      </c>
      <c r="E70" s="9" t="s">
        <v>36</v>
      </c>
      <c r="F70" s="9" t="s">
        <v>16</v>
      </c>
    </row>
    <row r="71" spans="1:6" x14ac:dyDescent="0.25">
      <c r="A71" s="6" t="s">
        <v>12</v>
      </c>
      <c r="B71" s="6">
        <f>SUMIFS($E$6:$E$56,$B$6:$B$56,$A71,$C$6:$C$56,B$70)</f>
        <v>392</v>
      </c>
      <c r="C71" s="6">
        <f>SUMIFS($E$6:$E$56,$B$6:$B$56,$A71,$C$6:$C$56,C$70)</f>
        <v>464</v>
      </c>
      <c r="D71" s="6">
        <f>SUMIFS($E$6:$E$56,$B$6:$B$56,$A71,$C$6:$C$56,D$70)</f>
        <v>0</v>
      </c>
      <c r="E71" s="6">
        <f>SUMIFS($E$6:$E$56,$B$6:$B$56,$A71,$C$6:$C$56,E$70)</f>
        <v>1003</v>
      </c>
      <c r="F71" s="6">
        <f>SUMIFS($E$6:$E$56,$B$6:$B$56,$A71,$C$6:$C$56,F$70)</f>
        <v>0</v>
      </c>
    </row>
    <row r="72" spans="1:6" x14ac:dyDescent="0.25">
      <c r="A72" s="6" t="s">
        <v>30</v>
      </c>
      <c r="B72" s="6">
        <f>SUMIFS($E$6:$E$56,$B$6:$B$56,$A72,$C$6:$C$56,B$70)</f>
        <v>3090</v>
      </c>
      <c r="C72" s="6">
        <f>SUMIFS($E$6:$E$56,$B$6:$B$56,$A72,$C$6:$C$56,C$70)</f>
        <v>2524</v>
      </c>
      <c r="D72" s="6">
        <f>SUMIFS($E$6:$E$56,$B$6:$B$56,$A72,$C$6:$C$56,D$70)</f>
        <v>2186</v>
      </c>
      <c r="E72" s="6">
        <f>SUMIFS($E$6:$E$56,$B$6:$B$56,$A72,$C$6:$C$56,E$70)</f>
        <v>0</v>
      </c>
      <c r="F72" s="6">
        <f>SUMIFS($E$6:$E$56,$B$6:$B$56,$A72,$C$6:$C$56,F$70)</f>
        <v>2814</v>
      </c>
    </row>
    <row r="73" spans="1:6" x14ac:dyDescent="0.25">
      <c r="A73" s="6" t="s">
        <v>27</v>
      </c>
      <c r="B73" s="6">
        <f>SUMIFS($E$6:$E$56,$B$6:$B$56,$A73,$C$6:$C$56,B$70)</f>
        <v>1369</v>
      </c>
      <c r="C73" s="6">
        <f>SUMIFS($E$6:$E$56,$B$6:$B$56,$A73,$C$6:$C$56,C$70)</f>
        <v>1548</v>
      </c>
      <c r="D73" s="6">
        <f>SUMIFS($E$6:$E$56,$B$6:$B$56,$A73,$C$6:$C$56,D$70)</f>
        <v>3337</v>
      </c>
      <c r="E73" s="6">
        <f>SUMIFS($E$6:$E$56,$B$6:$B$56,$A73,$C$6:$C$56,E$70)</f>
        <v>956</v>
      </c>
      <c r="F73" s="6">
        <f>SUMIFS($E$6:$E$56,$B$6:$B$56,$A73,$C$6:$C$56,F$70)</f>
        <v>1211</v>
      </c>
    </row>
    <row r="74" spans="1:6" x14ac:dyDescent="0.25">
      <c r="A74" s="6" t="s">
        <v>19</v>
      </c>
      <c r="B74" s="6">
        <f>SUMIFS($E$6:$E$56,$B$6:$B$56,$A74,$C$6:$C$56,B$70)</f>
        <v>3308</v>
      </c>
      <c r="C74" s="6">
        <f>SUMIFS($E$6:$E$56,$B$6:$B$56,$A74,$C$6:$C$56,C$70)</f>
        <v>0</v>
      </c>
      <c r="D74" s="6">
        <f>SUMIFS($E$6:$E$56,$B$6:$B$56,$A74,$C$6:$C$56,D$70)</f>
        <v>1321</v>
      </c>
      <c r="E74" s="6">
        <f>SUMIFS($E$6:$E$56,$B$6:$B$56,$A74,$C$6:$C$56,E$70)</f>
        <v>2291</v>
      </c>
      <c r="F74" s="6">
        <f>SUMIFS($E$6:$E$56,$B$6:$B$56,$A74,$C$6:$C$56,F$70)</f>
        <v>1381</v>
      </c>
    </row>
    <row r="75" spans="1:6" x14ac:dyDescent="0.25">
      <c r="A75" s="6" t="s">
        <v>56</v>
      </c>
      <c r="B75" s="6">
        <f>SUMIFS($E$6:$E$56,$B$6:$B$56,$A75,$C$6:$C$56,B$70)</f>
        <v>0</v>
      </c>
      <c r="C75" s="6">
        <f>SUMIFS($E$6:$E$56,$B$6:$B$56,$A75,$C$6:$C$56,C$70)</f>
        <v>1326</v>
      </c>
      <c r="D75" s="6">
        <f>SUMIFS($E$6:$E$56,$B$6:$B$56,$A75,$C$6:$C$56,D$70)</f>
        <v>0</v>
      </c>
      <c r="E75" s="6">
        <f>SUMIFS($E$6:$E$56,$B$6:$B$56,$A75,$C$6:$C$56,E$70)</f>
        <v>1598</v>
      </c>
      <c r="F75" s="6">
        <f>SUMIFS($E$6:$E$56,$B$6:$B$56,$A75,$C$6:$C$56,F$70)</f>
        <v>0</v>
      </c>
    </row>
    <row r="76" spans="1:6" x14ac:dyDescent="0.25">
      <c r="A76" s="6" t="s">
        <v>8</v>
      </c>
      <c r="B76" s="6">
        <f>SUMIFS($E$6:$E$56,$B$6:$B$56,$A76,$C$6:$C$56,B$70)</f>
        <v>927</v>
      </c>
      <c r="C76" s="6">
        <f>SUMIFS($E$6:$E$56,$B$6:$B$56,$A76,$C$6:$C$56,C$70)</f>
        <v>2997</v>
      </c>
      <c r="D76" s="6">
        <f>SUMIFS($E$6:$E$56,$B$6:$B$56,$A76,$C$6:$C$56,D$70)</f>
        <v>1985</v>
      </c>
      <c r="E76" s="6">
        <f>SUMIFS($E$6:$E$56,$B$6:$B$56,$A76,$C$6:$C$56,E$70)</f>
        <v>1564</v>
      </c>
      <c r="F76" s="6">
        <f>SUMIFS($E$6:$E$56,$B$6:$B$56,$A76,$C$6:$C$56,F$70)</f>
        <v>1239</v>
      </c>
    </row>
    <row r="77" spans="1:6" x14ac:dyDescent="0.25">
      <c r="A77" s="6" t="s">
        <v>21</v>
      </c>
      <c r="B77" s="6">
        <f>SUMIFS($E$6:$E$56,$B$6:$B$56,$A77,$C$6:$C$56,B$70)</f>
        <v>2898</v>
      </c>
      <c r="C77" s="6">
        <f>SUMIFS($E$6:$E$56,$B$6:$B$56,$A77,$C$6:$C$56,C$70)</f>
        <v>369</v>
      </c>
      <c r="D77" s="6">
        <f>SUMIFS($E$6:$E$56,$B$6:$B$56,$A77,$C$6:$C$56,D$70)</f>
        <v>0</v>
      </c>
      <c r="E77" s="6">
        <f>SUMIFS($E$6:$E$56,$B$6:$B$56,$A77,$C$6:$C$56,E$70)</f>
        <v>412</v>
      </c>
      <c r="F77" s="6">
        <f>SUMIFS($E$6:$E$56,$B$6:$B$56,$A77,$C$6:$C$56,F$70)</f>
        <v>0</v>
      </c>
    </row>
    <row r="78" spans="1:6" x14ac:dyDescent="0.25">
      <c r="A78" s="6" t="s">
        <v>41</v>
      </c>
      <c r="B78" s="6">
        <f>SUMIFS($E$6:$E$56,$B$6:$B$56,$A78,$C$6:$C$56,B$70)</f>
        <v>0</v>
      </c>
      <c r="C78" s="6">
        <f>SUMIFS($E$6:$E$56,$B$6:$B$56,$A78,$C$6:$C$56,C$70)</f>
        <v>0</v>
      </c>
      <c r="D78" s="6">
        <f>SUMIFS($E$6:$E$56,$B$6:$B$56,$A78,$C$6:$C$56,D$70)</f>
        <v>2358</v>
      </c>
      <c r="E78" s="6">
        <f>SUMIFS($E$6:$E$56,$B$6:$B$56,$A78,$C$6:$C$56,E$70)</f>
        <v>1780</v>
      </c>
      <c r="F78" s="6">
        <f>SUMIFS($E$6:$E$56,$B$6:$B$56,$A78,$C$6:$C$56,F$70)</f>
        <v>340</v>
      </c>
    </row>
    <row r="81" spans="1:6" x14ac:dyDescent="0.25">
      <c r="A81" s="7" t="s">
        <v>79</v>
      </c>
      <c r="B81" s="7"/>
      <c r="C81" s="7"/>
      <c r="D81" s="7"/>
      <c r="E81" s="7"/>
      <c r="F81" s="7"/>
    </row>
    <row r="82" spans="1:6" x14ac:dyDescent="0.25">
      <c r="A82" s="8"/>
      <c r="B82" s="8"/>
      <c r="C82" s="8"/>
      <c r="D82" s="8"/>
      <c r="E82" s="8"/>
      <c r="F82" s="8"/>
    </row>
    <row r="83" spans="1:6" ht="30" x14ac:dyDescent="0.25">
      <c r="A83" s="5" t="s">
        <v>5</v>
      </c>
      <c r="B83" s="5" t="s">
        <v>80</v>
      </c>
    </row>
    <row r="84" spans="1:6" x14ac:dyDescent="0.25">
      <c r="A84" s="6" t="s">
        <v>17</v>
      </c>
      <c r="B84" s="6">
        <f>COUNTIF($D$6:$D$56,A84)</f>
        <v>9</v>
      </c>
    </row>
    <row r="85" spans="1:6" x14ac:dyDescent="0.25">
      <c r="A85" s="6" t="s">
        <v>22</v>
      </c>
      <c r="B85" s="6">
        <f>COUNTIF($D$6:$D$56,A85)</f>
        <v>6</v>
      </c>
    </row>
    <row r="86" spans="1:6" x14ac:dyDescent="0.25">
      <c r="A86" s="6" t="s">
        <v>31</v>
      </c>
      <c r="B86" s="6">
        <f>COUNTIF($D$6:$D$56,A86)</f>
        <v>7</v>
      </c>
    </row>
    <row r="87" spans="1:6" x14ac:dyDescent="0.25">
      <c r="A87" s="6" t="s">
        <v>10</v>
      </c>
      <c r="B87" s="6">
        <f>COUNTIF($D$6:$D$56,A87)</f>
        <v>14</v>
      </c>
    </row>
    <row r="88" spans="1:6" x14ac:dyDescent="0.25">
      <c r="A88" s="6" t="s">
        <v>14</v>
      </c>
      <c r="B88" s="6">
        <f>COUNTIF($D$6:$D$56,A88)</f>
        <v>14</v>
      </c>
    </row>
    <row r="91" spans="1:6" x14ac:dyDescent="0.25">
      <c r="A91" s="7" t="s">
        <v>81</v>
      </c>
      <c r="B91" s="7"/>
      <c r="C91" s="7"/>
      <c r="D91" s="7"/>
      <c r="E91" s="7"/>
      <c r="F91" s="7"/>
    </row>
    <row r="92" spans="1:6" x14ac:dyDescent="0.25">
      <c r="A92" s="10" t="s">
        <v>82</v>
      </c>
      <c r="B92" s="1" t="s">
        <v>85</v>
      </c>
    </row>
    <row r="93" spans="1:6" x14ac:dyDescent="0.25">
      <c r="A93" s="10" t="s">
        <v>83</v>
      </c>
      <c r="B93" s="1">
        <f>SUMIF($C$6:$C$56,B92,$E$6:$E$56)</f>
        <v>9228</v>
      </c>
    </row>
    <row r="95" spans="1:6" x14ac:dyDescent="0.25">
      <c r="A95" s="11" t="s">
        <v>84</v>
      </c>
      <c r="B95" s="11"/>
      <c r="C95" s="11"/>
      <c r="D95" s="11"/>
      <c r="E95" s="11"/>
      <c r="F95" s="11"/>
    </row>
    <row r="97" ht="27.75" customHeight="1" x14ac:dyDescent="0.25"/>
  </sheetData>
  <mergeCells count="8">
    <mergeCell ref="A91:F91"/>
    <mergeCell ref="A95:F95"/>
    <mergeCell ref="A81:F81"/>
    <mergeCell ref="A69:F69"/>
    <mergeCell ref="A59:F59"/>
    <mergeCell ref="A58:F58"/>
    <mergeCell ref="A1:F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2026-07-21T09:34:16Z</dcterms:created>
  <dcterms:modified xsi:type="dcterms:W3CDTF">2026-07-21T09:38:07Z</dcterms:modified>
</cp:coreProperties>
</file>