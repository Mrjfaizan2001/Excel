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8_{B1978616-6AE9-45EF-88E4-FA6F4E8890E4}" xr6:coauthVersionLast="47" xr6:coauthVersionMax="47" xr10:uidLastSave="{00000000-0000-0000-0000-000000000000}"/>
  <bookViews>
    <workbookView xWindow="-120" yWindow="-120" windowWidth="20730" windowHeight="11160" xr2:uid="{031773F0-7657-4195-876D-3AF986D71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3" i="1" l="1"/>
  <c r="B103" i="1"/>
  <c r="D103" i="1" s="1"/>
  <c r="C102" i="1"/>
  <c r="B102" i="1"/>
  <c r="D102" i="1" s="1"/>
  <c r="C101" i="1"/>
  <c r="B101" i="1"/>
  <c r="D101" i="1" s="1"/>
  <c r="C100" i="1"/>
  <c r="B100" i="1"/>
  <c r="D100" i="1" s="1"/>
  <c r="C99" i="1"/>
  <c r="B99" i="1"/>
  <c r="D99" i="1" s="1"/>
  <c r="C98" i="1"/>
  <c r="B98" i="1"/>
  <c r="D98" i="1" s="1"/>
  <c r="B92" i="1"/>
  <c r="B91" i="1"/>
  <c r="B90" i="1"/>
  <c r="B89" i="1"/>
  <c r="C83" i="1"/>
  <c r="C82" i="1"/>
  <c r="C81" i="1"/>
  <c r="C80" i="1"/>
  <c r="C79" i="1"/>
  <c r="C78" i="1"/>
  <c r="C77" i="1"/>
  <c r="C76" i="1"/>
  <c r="C75" i="1"/>
  <c r="C74" i="1"/>
  <c r="C73" i="1"/>
  <c r="C72" i="1"/>
</calcChain>
</file>

<file path=xl/sharedStrings.xml><?xml version="1.0" encoding="utf-8"?>
<sst xmlns="http://schemas.openxmlformats.org/spreadsheetml/2006/main" count="39" uniqueCount="31">
  <si>
    <t>Session 14 - Pivot Tables (Part 2: Advanced Features)</t>
  </si>
  <si>
    <t>Grouping by Month/Quarter/Year, Calculated Fields, Slicers and Drill-down are native PivotTable UI features. Below is clean daily order data plus formula-built Month/Quarter/Year summaries that match what a real PivotTable would show once you group its Date field.</t>
  </si>
  <si>
    <t>Order Date</t>
  </si>
  <si>
    <t>Amount</t>
  </si>
  <si>
    <t>Task 1: Sales grouped by Month &amp; Year</t>
  </si>
  <si>
    <t>Month</t>
  </si>
  <si>
    <t>Month #</t>
  </si>
  <si>
    <t>Total Sales (Year 2025)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</si>
  <si>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</si>
  <si>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</si>
  <si>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</si>
  <si>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</si>
  <si>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</si>
  <si>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</si>
  <si>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</si>
  <si>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</si>
  <si>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</si>
  <si>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</si>
  <si>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</si>
  <si>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</si>
  <si>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Task 2: Sales grouped by Quarter</t>
  </si>
  <si>
    <t>Quarter</t>
  </si>
  <si>
    <t>Total Sales</t>
  </si>
  <si>
    <t>Q1 (Jan-Mar)</t>
  </si>
  <si>
    <t>Q2 (Apr-Jun)</t>
  </si>
  <si>
    <t>Q3 (Jul-Sep)</t>
  </si>
  <si>
    <t>Q4 (Oct-Dec)</t>
  </si>
  <si>
    <t>Task 3: Calculated Field - Average Order Value per Month = Total Sales / Order Count</t>
  </si>
  <si>
    <t>Order Count</t>
  </si>
  <si>
    <t>Avg Order Value (Calc Field)</t>
  </si>
  <si>
    <t>Task 4 (Slicer) &amp; Task 5 (Drill-down) are interactive PivotTable UI actions: Slicer = PivotTable Analyze &gt; Insert Slicer &gt; tick 'City' or 'Restaurant'. Drill-down = double-click any Grand Total / subtotal cell in a real PivotTable; Excel auto-inserts a new sheet named e.g. 'Sheet5' containing the raw rows that make up that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</si>
</sst>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Aptos Narrow"/>
      <family val="2"/>
      <scheme val="minor"/>
    </font>
    <font>
      <i/>
      <sz val="9"/>
      <color rgb="FF666666"/>
      <name val="Arial"/>
      <family val="2"/>
    </font>
    <font>
      <sz val="10"/>
      <name val="Arial"/>
      <family val="2"/>
    </font>
    <font>
      <b/>
      <i/>
      <sz val="11"/>
      <color rgb="FF444444"/>
      <name val="Arial"/>
      <family val="2"/>
    </font>
    <font>
      <b/>
      <sz val="12"/>
      <color rgb="FFC00000"/>
      <name val="Arial"/>
      <family val="2"/>
    </font>
    <font>
      <sz val="9"/>
      <color rgb="FFFF0000"/>
      <name val="Arial"/>
      <family val="2"/>
    </font>
    <font>
      <b/>
      <sz val="11"/>
      <color theme="1"/>
      <name val="Arial"/>
      <family val="2"/>
    </font>
    <font>
      <b/>
      <sz val="9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3" fillId="0" borderId="0" xfId="0" applyFont="1"/>
    <xf numFmtId="0" fontId="1" fillId="0" borderId="0" xfId="0" applyFont="1" applyAlignment="1">
      <alignment vertical="top" wrapText="1"/>
    </xf>
    <xf numFmtId="164" fontId="2" fillId="0" borderId="1" xfId="0" applyNumberFormat="1" applyFont="1" applyBorder="1"/>
    <xf numFmtId="0" fontId="2" fillId="0" borderId="1" xfId="0" applyFont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9A03-2F74-406A-8F9B-17F82D7B3106}">
  <dimension ref="A1:G107"/>
  <sheetViews>
    <sheetView tabSelected="1" workbookViewId="0">
      <selection activeCell="B5" sqref="B5"/>
    </sheetView>
  </sheetViews>
  <sheetFormatPr defaultRowHeight="15" x14ac:dyDescent="0.25"/>
  <cols>
    <col min="1" max="4" width="16" customWidth="1"/>
  </cols>
  <sheetData>
    <row r="1" spans="1:7" ht="15.75" x14ac:dyDescent="0.25">
      <c r="A1" s="1" t="s">
        <v>0</v>
      </c>
      <c r="B1" s="1"/>
      <c r="C1" s="1"/>
      <c r="D1" s="1"/>
      <c r="E1" s="1"/>
      <c r="F1" s="1"/>
    </row>
    <row r="2" spans="1:7" ht="15.75" x14ac:dyDescent="0.25">
      <c r="A2" s="2"/>
      <c r="B2" s="2"/>
      <c r="C2" s="2"/>
      <c r="D2" s="2"/>
      <c r="E2" s="2"/>
      <c r="F2" s="2"/>
    </row>
    <row r="3" spans="1:7" x14ac:dyDescent="0.25">
      <c r="A3" s="3" t="s">
        <v>1</v>
      </c>
      <c r="B3" s="3"/>
      <c r="C3" s="3"/>
      <c r="D3" s="3"/>
      <c r="E3" s="3"/>
      <c r="F3" s="3"/>
      <c r="G3" s="3"/>
    </row>
    <row r="6" spans="1:7" x14ac:dyDescent="0.25">
      <c r="A6" s="8" t="s">
        <v>2</v>
      </c>
      <c r="B6" s="8" t="s">
        <v>3</v>
      </c>
    </row>
    <row r="7" spans="1:7" x14ac:dyDescent="0.25">
      <c r="A7" s="6">
        <v>45664</v>
      </c>
      <c r="B7" s="7">
        <v>1104</v>
      </c>
    </row>
    <row r="8" spans="1:7" x14ac:dyDescent="0.25">
      <c r="A8" s="6">
        <v>45665</v>
      </c>
      <c r="B8" s="7">
        <v>855</v>
      </c>
    </row>
    <row r="9" spans="1:7" x14ac:dyDescent="0.25">
      <c r="A9" s="6">
        <v>45672</v>
      </c>
      <c r="B9" s="7">
        <v>1049</v>
      </c>
    </row>
    <row r="10" spans="1:7" x14ac:dyDescent="0.25">
      <c r="A10" s="6">
        <v>45673</v>
      </c>
      <c r="B10" s="7">
        <v>1015</v>
      </c>
    </row>
    <row r="11" spans="1:7" x14ac:dyDescent="0.25">
      <c r="A11" s="6">
        <v>45676</v>
      </c>
      <c r="B11" s="7">
        <v>475</v>
      </c>
    </row>
    <row r="12" spans="1:7" x14ac:dyDescent="0.25">
      <c r="A12" s="6">
        <v>45690</v>
      </c>
      <c r="B12" s="7">
        <v>317</v>
      </c>
    </row>
    <row r="13" spans="1:7" x14ac:dyDescent="0.25">
      <c r="A13" s="6">
        <v>45692</v>
      </c>
      <c r="B13" s="7">
        <v>581</v>
      </c>
    </row>
    <row r="14" spans="1:7" x14ac:dyDescent="0.25">
      <c r="A14" s="6">
        <v>45697</v>
      </c>
      <c r="B14" s="7">
        <v>264</v>
      </c>
    </row>
    <row r="15" spans="1:7" x14ac:dyDescent="0.25">
      <c r="A15" s="6">
        <v>45703</v>
      </c>
      <c r="B15" s="7">
        <v>511</v>
      </c>
    </row>
    <row r="16" spans="1:7" x14ac:dyDescent="0.25">
      <c r="A16" s="6">
        <v>45707</v>
      </c>
      <c r="B16" s="7">
        <v>188</v>
      </c>
    </row>
    <row r="17" spans="1:2" x14ac:dyDescent="0.25">
      <c r="A17" s="6">
        <v>45710</v>
      </c>
      <c r="B17" s="7">
        <v>801</v>
      </c>
    </row>
    <row r="18" spans="1:2" x14ac:dyDescent="0.25">
      <c r="A18" s="6">
        <v>45718</v>
      </c>
      <c r="B18" s="7">
        <v>196</v>
      </c>
    </row>
    <row r="19" spans="1:2" x14ac:dyDescent="0.25">
      <c r="A19" s="6">
        <v>45721</v>
      </c>
      <c r="B19" s="7">
        <v>217</v>
      </c>
    </row>
    <row r="20" spans="1:2" x14ac:dyDescent="0.25">
      <c r="A20" s="6">
        <v>45724</v>
      </c>
      <c r="B20" s="7">
        <v>538</v>
      </c>
    </row>
    <row r="21" spans="1:2" x14ac:dyDescent="0.25">
      <c r="A21" s="6">
        <v>45726</v>
      </c>
      <c r="B21" s="7">
        <v>1073</v>
      </c>
    </row>
    <row r="22" spans="1:2" x14ac:dyDescent="0.25">
      <c r="A22" s="6">
        <v>45728</v>
      </c>
      <c r="B22" s="7">
        <v>1091</v>
      </c>
    </row>
    <row r="23" spans="1:2" x14ac:dyDescent="0.25">
      <c r="A23" s="6">
        <v>45735</v>
      </c>
      <c r="B23" s="7">
        <v>171</v>
      </c>
    </row>
    <row r="24" spans="1:2" x14ac:dyDescent="0.25">
      <c r="A24" s="6">
        <v>45737</v>
      </c>
      <c r="B24" s="7">
        <v>874</v>
      </c>
    </row>
    <row r="25" spans="1:2" x14ac:dyDescent="0.25">
      <c r="A25" s="6">
        <v>45741</v>
      </c>
      <c r="B25" s="7">
        <v>884</v>
      </c>
    </row>
    <row r="26" spans="1:2" x14ac:dyDescent="0.25">
      <c r="A26" s="6">
        <v>45759</v>
      </c>
      <c r="B26" s="7">
        <v>1170</v>
      </c>
    </row>
    <row r="27" spans="1:2" x14ac:dyDescent="0.25">
      <c r="A27" s="6">
        <v>45776</v>
      </c>
      <c r="B27" s="7">
        <v>817</v>
      </c>
    </row>
    <row r="28" spans="1:2" x14ac:dyDescent="0.25">
      <c r="A28" s="6">
        <v>45777</v>
      </c>
      <c r="B28" s="7">
        <v>351</v>
      </c>
    </row>
    <row r="29" spans="1:2" x14ac:dyDescent="0.25">
      <c r="A29" s="6">
        <v>45779</v>
      </c>
      <c r="B29" s="7">
        <v>772</v>
      </c>
    </row>
    <row r="30" spans="1:2" x14ac:dyDescent="0.25">
      <c r="A30" s="6">
        <v>45795</v>
      </c>
      <c r="B30" s="7">
        <v>646</v>
      </c>
    </row>
    <row r="31" spans="1:2" x14ac:dyDescent="0.25">
      <c r="A31" s="6">
        <v>45800</v>
      </c>
      <c r="B31" s="7">
        <v>681</v>
      </c>
    </row>
    <row r="32" spans="1:2" x14ac:dyDescent="0.25">
      <c r="A32" s="6">
        <v>45807</v>
      </c>
      <c r="B32" s="7">
        <v>791</v>
      </c>
    </row>
    <row r="33" spans="1:2" x14ac:dyDescent="0.25">
      <c r="A33" s="6">
        <v>45825</v>
      </c>
      <c r="B33" s="7">
        <v>1163</v>
      </c>
    </row>
    <row r="34" spans="1:2" x14ac:dyDescent="0.25">
      <c r="A34" s="6">
        <v>45827</v>
      </c>
      <c r="B34" s="7">
        <v>728</v>
      </c>
    </row>
    <row r="35" spans="1:2" x14ac:dyDescent="0.25">
      <c r="A35" s="6">
        <v>45830</v>
      </c>
      <c r="B35" s="7">
        <v>866</v>
      </c>
    </row>
    <row r="36" spans="1:2" x14ac:dyDescent="0.25">
      <c r="A36" s="6">
        <v>45831</v>
      </c>
      <c r="B36" s="7">
        <v>480</v>
      </c>
    </row>
    <row r="37" spans="1:2" x14ac:dyDescent="0.25">
      <c r="A37" s="6">
        <v>45851</v>
      </c>
      <c r="B37" s="7">
        <v>546</v>
      </c>
    </row>
    <row r="38" spans="1:2" x14ac:dyDescent="0.25">
      <c r="A38" s="6">
        <v>45851</v>
      </c>
      <c r="B38" s="7">
        <v>904</v>
      </c>
    </row>
    <row r="39" spans="1:2" x14ac:dyDescent="0.25">
      <c r="A39" s="6">
        <v>45855</v>
      </c>
      <c r="B39" s="7">
        <v>753</v>
      </c>
    </row>
    <row r="40" spans="1:2" x14ac:dyDescent="0.25">
      <c r="A40" s="6">
        <v>45856</v>
      </c>
      <c r="B40" s="7">
        <v>900</v>
      </c>
    </row>
    <row r="41" spans="1:2" x14ac:dyDescent="0.25">
      <c r="A41" s="6">
        <v>45873</v>
      </c>
      <c r="B41" s="7">
        <v>683</v>
      </c>
    </row>
    <row r="42" spans="1:2" x14ac:dyDescent="0.25">
      <c r="A42" s="6">
        <v>45876</v>
      </c>
      <c r="B42" s="7">
        <v>565</v>
      </c>
    </row>
    <row r="43" spans="1:2" x14ac:dyDescent="0.25">
      <c r="A43" s="6">
        <v>45876</v>
      </c>
      <c r="B43" s="7">
        <v>957</v>
      </c>
    </row>
    <row r="44" spans="1:2" x14ac:dyDescent="0.25">
      <c r="A44" s="6">
        <v>45898</v>
      </c>
      <c r="B44" s="7">
        <v>422</v>
      </c>
    </row>
    <row r="45" spans="1:2" x14ac:dyDescent="0.25">
      <c r="A45" s="6">
        <v>45898</v>
      </c>
      <c r="B45" s="7">
        <v>718</v>
      </c>
    </row>
    <row r="46" spans="1:2" x14ac:dyDescent="0.25">
      <c r="A46" s="6">
        <v>45911</v>
      </c>
      <c r="B46" s="7">
        <v>378</v>
      </c>
    </row>
    <row r="47" spans="1:2" x14ac:dyDescent="0.25">
      <c r="A47" s="6">
        <v>45924</v>
      </c>
      <c r="B47" s="7">
        <v>556</v>
      </c>
    </row>
    <row r="48" spans="1:2" x14ac:dyDescent="0.25">
      <c r="A48" s="6">
        <v>45925</v>
      </c>
      <c r="B48" s="7">
        <v>559</v>
      </c>
    </row>
    <row r="49" spans="1:2" x14ac:dyDescent="0.25">
      <c r="A49" s="6">
        <v>45931</v>
      </c>
      <c r="B49" s="7">
        <v>764</v>
      </c>
    </row>
    <row r="50" spans="1:2" x14ac:dyDescent="0.25">
      <c r="A50" s="6">
        <v>45932</v>
      </c>
      <c r="B50" s="7">
        <v>183</v>
      </c>
    </row>
    <row r="51" spans="1:2" x14ac:dyDescent="0.25">
      <c r="A51" s="6">
        <v>45939</v>
      </c>
      <c r="B51" s="7">
        <v>650</v>
      </c>
    </row>
    <row r="52" spans="1:2" x14ac:dyDescent="0.25">
      <c r="A52" s="6">
        <v>45950</v>
      </c>
      <c r="B52" s="7">
        <v>748</v>
      </c>
    </row>
    <row r="53" spans="1:2" x14ac:dyDescent="0.25">
      <c r="A53" s="6">
        <v>45951</v>
      </c>
      <c r="B53" s="7">
        <v>430</v>
      </c>
    </row>
    <row r="54" spans="1:2" x14ac:dyDescent="0.25">
      <c r="A54" s="6">
        <v>45953</v>
      </c>
      <c r="B54" s="7">
        <v>617</v>
      </c>
    </row>
    <row r="55" spans="1:2" x14ac:dyDescent="0.25">
      <c r="A55" s="6">
        <v>45955</v>
      </c>
      <c r="B55" s="7">
        <v>219</v>
      </c>
    </row>
    <row r="56" spans="1:2" x14ac:dyDescent="0.25">
      <c r="A56" s="6">
        <v>45957</v>
      </c>
      <c r="B56" s="7">
        <v>394</v>
      </c>
    </row>
    <row r="57" spans="1:2" x14ac:dyDescent="0.25">
      <c r="A57" s="6">
        <v>45960</v>
      </c>
      <c r="B57" s="7">
        <v>195</v>
      </c>
    </row>
    <row r="58" spans="1:2" x14ac:dyDescent="0.25">
      <c r="A58" s="6">
        <v>45962</v>
      </c>
      <c r="B58" s="7">
        <v>865</v>
      </c>
    </row>
    <row r="59" spans="1:2" x14ac:dyDescent="0.25">
      <c r="A59" s="6">
        <v>45967</v>
      </c>
      <c r="B59" s="7">
        <v>648</v>
      </c>
    </row>
    <row r="60" spans="1:2" x14ac:dyDescent="0.25">
      <c r="A60" s="6">
        <v>45968</v>
      </c>
      <c r="B60" s="7">
        <v>855</v>
      </c>
    </row>
    <row r="61" spans="1:2" x14ac:dyDescent="0.25">
      <c r="A61" s="6">
        <v>45972</v>
      </c>
      <c r="B61" s="7">
        <v>950</v>
      </c>
    </row>
    <row r="62" spans="1:2" x14ac:dyDescent="0.25">
      <c r="A62" s="6">
        <v>45978</v>
      </c>
      <c r="B62" s="7">
        <v>1048</v>
      </c>
    </row>
    <row r="63" spans="1:2" x14ac:dyDescent="0.25">
      <c r="A63" s="6">
        <v>45985</v>
      </c>
      <c r="B63" s="7">
        <v>1054</v>
      </c>
    </row>
    <row r="64" spans="1:2" x14ac:dyDescent="0.25">
      <c r="A64" s="6">
        <v>45985</v>
      </c>
      <c r="B64" s="7">
        <v>1189</v>
      </c>
    </row>
    <row r="65" spans="1:6" x14ac:dyDescent="0.25">
      <c r="A65" s="6">
        <v>45993</v>
      </c>
      <c r="B65" s="7">
        <v>372</v>
      </c>
    </row>
    <row r="66" spans="1:6" x14ac:dyDescent="0.25">
      <c r="A66" s="6">
        <v>46002</v>
      </c>
      <c r="B66" s="7">
        <v>608</v>
      </c>
    </row>
    <row r="69" spans="1:6" x14ac:dyDescent="0.25">
      <c r="A69" s="9" t="s">
        <v>4</v>
      </c>
      <c r="B69" s="4"/>
    </row>
    <row r="70" spans="1:6" x14ac:dyDescent="0.25">
      <c r="A70" s="9"/>
      <c r="B70" s="4"/>
    </row>
    <row r="71" spans="1:6" ht="30" x14ac:dyDescent="0.25">
      <c r="A71" s="8" t="s">
        <v>5</v>
      </c>
      <c r="B71" s="8" t="s">
        <v>6</v>
      </c>
      <c r="C71" s="8" t="s">
        <v>7</v>
      </c>
      <c r="D71" s="4"/>
      <c r="E71" s="4"/>
      <c r="F71" s="4"/>
    </row>
    <row r="72" spans="1:6" x14ac:dyDescent="0.25">
      <c r="A72" s="7" t="s">
        <v>8</v>
      </c>
      <c r="B72" s="7">
        <v>1</v>
      </c>
      <c r="C72" s="7">
        <f>SUMPRODUCT((MONTH($A$7:$A$67)=B72)*(YEAR($A$7:$A$67)=2025)*$B$7:$B$67)</f>
        <v>4498</v>
      </c>
    </row>
    <row r="73" spans="1:6" x14ac:dyDescent="0.25">
      <c r="A73" s="7" t="s">
        <v>9</v>
      </c>
      <c r="B73" s="7">
        <v>2</v>
      </c>
      <c r="C73" s="7">
        <f>SUMPRODUCT((MONTH($A$7:$A$67)=B73)*(YEAR($A$7:$A$67)=2025)*$B$7:$B$67)</f>
        <v>2662</v>
      </c>
    </row>
    <row r="74" spans="1:6" x14ac:dyDescent="0.25">
      <c r="A74" s="7" t="s">
        <v>10</v>
      </c>
      <c r="B74" s="7">
        <v>3</v>
      </c>
      <c r="C74" s="7">
        <f>SUMPRODUCT((MONTH($A$7:$A$67)=B74)*(YEAR($A$7:$A$67)=2025)*$B$7:$B$67)</f>
        <v>5044</v>
      </c>
    </row>
    <row r="75" spans="1:6" x14ac:dyDescent="0.25">
      <c r="A75" s="7" t="s">
        <v>11</v>
      </c>
      <c r="B75" s="7">
        <v>4</v>
      </c>
      <c r="C75" s="7">
        <f>SUMPRODUCT((MONTH($A$7:$A$67)=B75)*(YEAR($A$7:$A$67)=2025)*$B$7:$B$67)</f>
        <v>2338</v>
      </c>
    </row>
    <row r="76" spans="1:6" x14ac:dyDescent="0.25">
      <c r="A76" s="7" t="s">
        <v>12</v>
      </c>
      <c r="B76" s="7">
        <v>5</v>
      </c>
      <c r="C76" s="7">
        <f>SUMPRODUCT((MONTH($A$7:$A$67)=B76)*(YEAR($A$7:$A$67)=2025)*$B$7:$B$67)</f>
        <v>2890</v>
      </c>
    </row>
    <row r="77" spans="1:6" x14ac:dyDescent="0.25">
      <c r="A77" s="7" t="s">
        <v>13</v>
      </c>
      <c r="B77" s="7">
        <v>6</v>
      </c>
      <c r="C77" s="7">
        <f>SUMPRODUCT((MONTH($A$7:$A$67)=B77)*(YEAR($A$7:$A$67)=2025)*$B$7:$B$67)</f>
        <v>3237</v>
      </c>
    </row>
    <row r="78" spans="1:6" x14ac:dyDescent="0.25">
      <c r="A78" s="7" t="s">
        <v>14</v>
      </c>
      <c r="B78" s="7">
        <v>7</v>
      </c>
      <c r="C78" s="7">
        <f>SUMPRODUCT((MONTH($A$7:$A$67)=B78)*(YEAR($A$7:$A$67)=2025)*$B$7:$B$67)</f>
        <v>3103</v>
      </c>
    </row>
    <row r="79" spans="1:6" x14ac:dyDescent="0.25">
      <c r="A79" s="7" t="s">
        <v>15</v>
      </c>
      <c r="B79" s="7">
        <v>8</v>
      </c>
      <c r="C79" s="7">
        <f>SUMPRODUCT((MONTH($A$7:$A$67)=B79)*(YEAR($A$7:$A$67)=2025)*$B$7:$B$67)</f>
        <v>3345</v>
      </c>
    </row>
    <row r="80" spans="1:6" x14ac:dyDescent="0.25">
      <c r="A80" s="7" t="s">
        <v>16</v>
      </c>
      <c r="B80" s="7">
        <v>9</v>
      </c>
      <c r="C80" s="7">
        <f>SUMPRODUCT((MONTH($A$7:$A$67)=B80)*(YEAR($A$7:$A$67)=2025)*$B$7:$B$67)</f>
        <v>1493</v>
      </c>
    </row>
    <row r="81" spans="1:6" x14ac:dyDescent="0.25">
      <c r="A81" s="7" t="s">
        <v>17</v>
      </c>
      <c r="B81" s="7">
        <v>10</v>
      </c>
      <c r="C81" s="7">
        <f>SUMPRODUCT((MONTH($A$7:$A$67)=B81)*(YEAR($A$7:$A$67)=2025)*$B$7:$B$67)</f>
        <v>4200</v>
      </c>
    </row>
    <row r="82" spans="1:6" x14ac:dyDescent="0.25">
      <c r="A82" s="7" t="s">
        <v>18</v>
      </c>
      <c r="B82" s="7">
        <v>11</v>
      </c>
      <c r="C82" s="7">
        <f>SUMPRODUCT((MONTH($A$7:$A$67)=B82)*(YEAR($A$7:$A$67)=2025)*$B$7:$B$67)</f>
        <v>6609</v>
      </c>
    </row>
    <row r="83" spans="1:6" x14ac:dyDescent="0.25">
      <c r="A83" s="7" t="s">
        <v>19</v>
      </c>
      <c r="B83" s="7">
        <v>12</v>
      </c>
      <c r="C83" s="7">
        <f>SUMPRODUCT((MONTH($A$7:$A$67)=B83)*(YEAR($A$7:$A$67)=2025)*$B$7:$B$67)</f>
        <v>980</v>
      </c>
    </row>
    <row r="86" spans="1:6" x14ac:dyDescent="0.25">
      <c r="A86" s="9" t="s">
        <v>20</v>
      </c>
      <c r="B86" s="4"/>
      <c r="C86" s="4"/>
    </row>
    <row r="87" spans="1:6" x14ac:dyDescent="0.25">
      <c r="A87" s="9"/>
      <c r="B87" s="4"/>
      <c r="C87" s="4"/>
    </row>
    <row r="88" spans="1:6" x14ac:dyDescent="0.25">
      <c r="A88" s="8" t="s">
        <v>21</v>
      </c>
      <c r="B88" s="8" t="s">
        <v>22</v>
      </c>
      <c r="D88" s="4"/>
      <c r="E88" s="4"/>
      <c r="F88" s="4"/>
    </row>
    <row r="89" spans="1:6" x14ac:dyDescent="0.25">
      <c r="A89" s="7" t="s">
        <v>23</v>
      </c>
      <c r="B89" s="7">
        <f>SUMPRODUCT((ROUNDUP(MONTH($A$7:$A$67)/3,0)=1)*$B$7:$B$67)</f>
        <v>12204</v>
      </c>
    </row>
    <row r="90" spans="1:6" x14ac:dyDescent="0.25">
      <c r="A90" s="7" t="s">
        <v>24</v>
      </c>
      <c r="B90" s="7">
        <f>SUMPRODUCT((ROUNDUP(MONTH($A$7:$A$67)/3,0)=2)*$B$7:$B$67)</f>
        <v>8465</v>
      </c>
    </row>
    <row r="91" spans="1:6" x14ac:dyDescent="0.25">
      <c r="A91" s="7" t="s">
        <v>25</v>
      </c>
      <c r="B91" s="7">
        <f>SUMPRODUCT((ROUNDUP(MONTH($A$7:$A$67)/3,0)=3)*$B$7:$B$67)</f>
        <v>7941</v>
      </c>
    </row>
    <row r="92" spans="1:6" x14ac:dyDescent="0.25">
      <c r="A92" s="7" t="s">
        <v>26</v>
      </c>
      <c r="B92" s="7">
        <f>SUMPRODUCT((ROUNDUP(MONTH($A$7:$A$67)/3,0)=4)*$B$7:$B$67)</f>
        <v>11789</v>
      </c>
    </row>
    <row r="95" spans="1:6" x14ac:dyDescent="0.25">
      <c r="A95" s="9" t="s">
        <v>27</v>
      </c>
      <c r="B95" s="4"/>
      <c r="C95" s="4"/>
    </row>
    <row r="96" spans="1:6" x14ac:dyDescent="0.25">
      <c r="A96" s="9"/>
      <c r="B96" s="4"/>
      <c r="C96" s="4"/>
    </row>
    <row r="97" spans="1:6" ht="45" x14ac:dyDescent="0.25">
      <c r="A97" s="8" t="s">
        <v>5</v>
      </c>
      <c r="B97" s="8" t="s">
        <v>22</v>
      </c>
      <c r="C97" s="8" t="s">
        <v>28</v>
      </c>
      <c r="D97" s="8" t="s">
        <v>29</v>
      </c>
      <c r="E97" s="4"/>
      <c r="F97" s="4"/>
    </row>
    <row r="98" spans="1:6" x14ac:dyDescent="0.25">
      <c r="A98" s="7" t="s">
        <v>8</v>
      </c>
      <c r="B98" s="7">
        <f>SUMPRODUCT((MONTH($A$7:$A$67)=B72)*$B$7:$B$67)</f>
        <v>4498</v>
      </c>
      <c r="C98" s="7">
        <f>SUMPRODUCT((MONTH($A$7:$A$67)=B72)*1)</f>
        <v>6</v>
      </c>
      <c r="D98" s="7">
        <f>IFERROR(B98/C98,0)</f>
        <v>749.66666666666663</v>
      </c>
    </row>
    <row r="99" spans="1:6" x14ac:dyDescent="0.25">
      <c r="A99" s="7" t="s">
        <v>9</v>
      </c>
      <c r="B99" s="7">
        <f>SUMPRODUCT((MONTH($A$7:$A$67)=B73)*$B$7:$B$67)</f>
        <v>2662</v>
      </c>
      <c r="C99" s="7">
        <f>SUMPRODUCT((MONTH($A$7:$A$67)=B73)*1)</f>
        <v>6</v>
      </c>
      <c r="D99" s="7">
        <f>IFERROR(B99/C99,0)</f>
        <v>443.66666666666669</v>
      </c>
    </row>
    <row r="100" spans="1:6" x14ac:dyDescent="0.25">
      <c r="A100" s="7" t="s">
        <v>10</v>
      </c>
      <c r="B100" s="7">
        <f>SUMPRODUCT((MONTH($A$7:$A$67)=B74)*$B$7:$B$67)</f>
        <v>5044</v>
      </c>
      <c r="C100" s="7">
        <f>SUMPRODUCT((MONTH($A$7:$A$67)=B74)*1)</f>
        <v>8</v>
      </c>
      <c r="D100" s="7">
        <f>IFERROR(B100/C100,0)</f>
        <v>630.5</v>
      </c>
    </row>
    <row r="101" spans="1:6" x14ac:dyDescent="0.25">
      <c r="A101" s="7" t="s">
        <v>11</v>
      </c>
      <c r="B101" s="7">
        <f>SUMPRODUCT((MONTH($A$7:$A$67)=B75)*$B$7:$B$67)</f>
        <v>2338</v>
      </c>
      <c r="C101" s="7">
        <f>SUMPRODUCT((MONTH($A$7:$A$67)=B75)*1)</f>
        <v>3</v>
      </c>
      <c r="D101" s="7">
        <f>IFERROR(B101/C101,0)</f>
        <v>779.33333333333337</v>
      </c>
    </row>
    <row r="102" spans="1:6" x14ac:dyDescent="0.25">
      <c r="A102" s="7" t="s">
        <v>12</v>
      </c>
      <c r="B102" s="7">
        <f>SUMPRODUCT((MONTH($A$7:$A$67)=B76)*$B$7:$B$67)</f>
        <v>2890</v>
      </c>
      <c r="C102" s="7">
        <f>SUMPRODUCT((MONTH($A$7:$A$67)=B76)*1)</f>
        <v>4</v>
      </c>
      <c r="D102" s="7">
        <f>IFERROR(B102/C102,0)</f>
        <v>722.5</v>
      </c>
    </row>
    <row r="103" spans="1:6" x14ac:dyDescent="0.25">
      <c r="A103" s="7" t="s">
        <v>13</v>
      </c>
      <c r="B103" s="7">
        <f>SUMPRODUCT((MONTH($A$7:$A$67)=B77)*$B$7:$B$67)</f>
        <v>3237</v>
      </c>
      <c r="C103" s="7">
        <f>SUMPRODUCT((MONTH($A$7:$A$67)=B77)*1)</f>
        <v>4</v>
      </c>
      <c r="D103" s="7">
        <f>IFERROR(B103/C103,0)</f>
        <v>809.25</v>
      </c>
    </row>
    <row r="104" spans="1:6" x14ac:dyDescent="0.25">
      <c r="A104" s="5"/>
      <c r="B104" s="5"/>
      <c r="C104" s="5"/>
      <c r="D104" s="5"/>
    </row>
    <row r="105" spans="1:6" ht="15" customHeight="1" x14ac:dyDescent="0.25">
      <c r="E105" s="5"/>
      <c r="F105" s="5"/>
    </row>
    <row r="106" spans="1:6" ht="276" customHeight="1" x14ac:dyDescent="0.25">
      <c r="A106" s="10" t="s">
        <v>30</v>
      </c>
      <c r="B106" s="10"/>
      <c r="C106" s="10"/>
      <c r="D106" s="10"/>
      <c r="E106" s="10"/>
    </row>
    <row r="107" spans="1:6" ht="15" customHeight="1" x14ac:dyDescent="0.25">
      <c r="E107" s="5"/>
      <c r="F107" s="5"/>
    </row>
  </sheetData>
  <mergeCells count="3">
    <mergeCell ref="A106:E106"/>
    <mergeCell ref="A1:F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2026-07-21T09:39:09Z</dcterms:created>
  <dcterms:modified xsi:type="dcterms:W3CDTF">2026-07-21T09:45:55Z</dcterms:modified>
</cp:coreProperties>
</file>