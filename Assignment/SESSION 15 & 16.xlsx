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7FC9B43F-95F3-439B-A933-3F623EE5D855}" xr6:coauthVersionLast="47" xr6:coauthVersionMax="47" xr10:uidLastSave="{00000000-0000-0000-0000-000000000000}"/>
  <bookViews>
    <workbookView xWindow="-120" yWindow="-120" windowWidth="20730" windowHeight="11160" xr2:uid="{9FB83711-818F-4948-B941-683CB581D3B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4" i="1" l="1"/>
  <c r="B54" i="1"/>
  <c r="C53" i="1"/>
  <c r="B53" i="1"/>
  <c r="C52" i="1"/>
  <c r="B52" i="1"/>
  <c r="C51" i="1"/>
  <c r="B51" i="1"/>
  <c r="C50" i="1"/>
  <c r="B50" i="1"/>
</calcChain>
</file>

<file path=xl/sharedStrings.xml><?xml version="1.0" encoding="utf-8"?>
<sst xmlns="http://schemas.openxmlformats.org/spreadsheetml/2006/main" count="187" uniqueCount="26">
  <si>
    <t>Sessions 15 &amp; 16 - Pivot Charts, Slicers, Timelines &amp; Interactive Dashboards</t>
  </si>
  <si>
    <t>Real PivotCharts/Slicers/Timelines are created interactively in Excel from a PivotTable. Below: clean source data, a SUMIFS-based summary table, and matching native Excel charts (Bar / Line / Pie) built from that summary - visually and numerically equivalent to what your PivotChart should show.</t>
  </si>
  <si>
    <t>Match Date</t>
  </si>
  <si>
    <t>Team 1</t>
  </si>
  <si>
    <t>Team 2</t>
  </si>
  <si>
    <t>Venue</t>
  </si>
  <si>
    <t>Winner</t>
  </si>
  <si>
    <t>Kolkata Knight Riders</t>
  </si>
  <si>
    <t>Rajasthan Royals</t>
  </si>
  <si>
    <t>Sawai Mansingh</t>
  </si>
  <si>
    <t>Chennai Super Kings</t>
  </si>
  <si>
    <t>Eden Gardens</t>
  </si>
  <si>
    <t>Gujarat Titans</t>
  </si>
  <si>
    <t>Mumbai Indians</t>
  </si>
  <si>
    <t>Wankhede</t>
  </si>
  <si>
    <t>Narendra Modi Stadium</t>
  </si>
  <si>
    <t>Chepauk</t>
  </si>
  <si>
    <t>Team</t>
  </si>
  <si>
    <t>Matches Played</t>
  </si>
  <si>
    <t>Matches Won</t>
  </si>
  <si>
    <t>Task 5: Wins per team per year, highlight the top performer each year</t>
  </si>
  <si>
    <t>2023</t>
  </si>
  <si>
    <t>2024</t>
  </si>
  <si>
    <t>2025</t>
  </si>
  <si>
    <t>Top performer per year is highlighted gold using a Conditional Formatting formula rule (cell = MAX of its own year column) - the same visual effect as formatting the top bar in a PivotChart.</t>
  </si>
  <si>
    <t>Slicers/Timeline click-path (Tasks 2-4): select the PivotTable -&gt; PivotTable Analyze &gt; Insert Slicer (tick 'Venue') and Insert Timeline (tick 'Match Date'). To link both a bar PivotChart and a line PivotChart to the same Venue slicer/Timeline: Slicer/Timeline &gt; Report Connections &gt; tick both PivotTables.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</si>
</sst>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1"/>
      <color theme="1"/>
      <name val="Aptos Narrow"/>
      <family val="2"/>
      <scheme val="minor"/>
    </font>
    <font>
      <i/>
      <sz val="9"/>
      <color rgb="FF666666"/>
      <name val="Arial"/>
      <family val="2"/>
    </font>
    <font>
      <sz val="10"/>
      <name val="Arial"/>
      <family val="2"/>
    </font>
    <font>
      <b/>
      <sz val="12"/>
      <color rgb="FFC00000"/>
      <name val="Arial"/>
      <family val="2"/>
    </font>
    <font>
      <sz val="9"/>
      <color rgb="FFC0000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164" fontId="2" fillId="0" borderId="1" xfId="0" applyNumberFormat="1" applyFont="1" applyBorder="1"/>
    <xf numFmtId="0" fontId="2" fillId="0" borderId="1" xfId="0" applyFont="1" applyBorder="1"/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0" fillId="0" borderId="0" xfId="0" applyBorder="1"/>
    <xf numFmtId="0" fontId="5" fillId="0" borderId="0" xfId="0" applyFont="1"/>
    <xf numFmtId="0" fontId="6" fillId="0" borderId="1" xfId="0" applyFont="1" applyFill="1" applyBorder="1"/>
    <xf numFmtId="0" fontId="5" fillId="0" borderId="0" xfId="0" applyFont="1"/>
  </cellXfs>
  <cellStyles count="1">
    <cellStyle name="Normal" xfId="0" builtinId="0"/>
  </cellStyles>
  <dxfs count="24">
    <dxf>
      <fill>
        <patternFill>
          <bgColor rgb="FFFFD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D966"/>
        </patternFill>
      </fill>
    </dxf>
    <dxf>
      <fill>
        <patternFill>
          <bgColor rgb="FFFFD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D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D966"/>
        </patternFill>
      </fill>
    </dxf>
    <dxf>
      <fill>
        <patternFill>
          <bgColor rgb="FFFFD966"/>
        </patternFill>
      </fill>
    </dxf>
    <dxf>
      <fill>
        <patternFill>
          <bgColor rgb="FFFFD966"/>
        </patternFill>
      </fill>
    </dxf>
    <dxf>
      <fill>
        <patternFill>
          <bgColor rgb="FFFFD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D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D966"/>
        </patternFill>
      </fill>
    </dxf>
    <dxf>
      <fill>
        <patternFill>
          <bgColor rgb="FFFFD966"/>
        </patternFill>
      </fill>
    </dxf>
    <dxf>
      <fill>
        <patternFill>
          <bgColor rgb="FFFFD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D966"/>
        </patternFill>
      </fill>
    </dxf>
    <dxf>
      <fill>
        <patternFill>
          <bgColor rgb="FFFFD966"/>
        </patternFill>
      </fill>
    </dxf>
    <dxf>
      <fill>
        <patternFill>
          <bgColor rgb="FFFFD966"/>
        </patternFill>
      </fill>
    </dxf>
    <dxf>
      <fill>
        <patternFill>
          <bgColor rgb="FFFFD966"/>
        </patternFill>
      </fill>
    </dxf>
    <dxf>
      <fill>
        <patternFill>
          <bgColor rgb="FFFFD966"/>
        </patternFill>
      </fill>
    </dxf>
    <dxf>
      <fill>
        <patternFill>
          <bgColor rgb="FFFFD9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Matches Played by 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'[1]S15-16_PivotCharts_Dashboards'!$B$49</c:f>
              <c:strCache>
                <c:ptCount val="1"/>
                <c:pt idx="0">
                  <c:v>Matches Played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'[1]S15-16_PivotCharts_Dashboards'!$A$50:$A$55</c:f>
              <c:strCache>
                <c:ptCount val="5"/>
                <c:pt idx="0">
                  <c:v>Mumbai Indians</c:v>
                </c:pt>
                <c:pt idx="1">
                  <c:v>Chennai Super Kings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Rajasthan Royals</c:v>
                </c:pt>
              </c:strCache>
            </c:strRef>
          </c:cat>
          <c:val>
            <c:numRef>
              <c:f>'[1]S15-16_PivotCharts_Dashboards'!$B$50:$B$55</c:f>
              <c:numCache>
                <c:formatCode>General</c:formatCode>
                <c:ptCount val="6"/>
                <c:pt idx="0">
                  <c:v>19</c:v>
                </c:pt>
                <c:pt idx="1">
                  <c:v>19</c:v>
                </c:pt>
                <c:pt idx="2">
                  <c:v>9</c:v>
                </c:pt>
                <c:pt idx="3">
                  <c:v>15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3-4493-9323-7C5BCD751FD3}"/>
            </c:ext>
          </c:extLst>
        </c:ser>
        <c:ser>
          <c:idx val="1"/>
          <c:order val="1"/>
          <c:tx>
            <c:strRef>
              <c:f>'[1]S15-16_PivotCharts_Dashboards'!$C$49</c:f>
              <c:strCache>
                <c:ptCount val="1"/>
                <c:pt idx="0">
                  <c:v>Matches Won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'[1]S15-16_PivotCharts_Dashboards'!$A$50:$A$55</c:f>
              <c:strCache>
                <c:ptCount val="5"/>
                <c:pt idx="0">
                  <c:v>Mumbai Indians</c:v>
                </c:pt>
                <c:pt idx="1">
                  <c:v>Chennai Super Kings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Rajasthan Royals</c:v>
                </c:pt>
              </c:strCache>
            </c:strRef>
          </c:cat>
          <c:val>
            <c:numRef>
              <c:f>'[1]S15-16_PivotCharts_Dashboards'!$C$50:$C$55</c:f>
              <c:numCache>
                <c:formatCode>General</c:formatCode>
                <c:ptCount val="6"/>
                <c:pt idx="0">
                  <c:v>8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B3-4493-9323-7C5BCD751F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5330486"/>
        <c:axId val="38791916"/>
      </c:barChart>
      <c:catAx>
        <c:axId val="3533048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91916"/>
        <c:crosses val="autoZero"/>
        <c:auto val="1"/>
        <c:lblAlgn val="ctr"/>
        <c:lblOffset val="100"/>
        <c:noMultiLvlLbl val="0"/>
      </c:catAx>
      <c:valAx>
        <c:axId val="3879191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Matches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53304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514350</xdr:colOff>
      <xdr:row>45</xdr:row>
      <xdr:rowOff>161924</xdr:rowOff>
    </xdr:from>
    <xdr:to>
      <xdr:col>11</xdr:col>
      <xdr:colOff>69119</xdr:colOff>
      <xdr:row>60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B2653-4CAD-47AC-AC03-B9C0E6B103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ps\Downloads\Excle%20Assignments.xlsx" TargetMode="External"/><Relationship Id="rId1" Type="http://schemas.openxmlformats.org/officeDocument/2006/relationships/externalLinkPath" Target="Excle%20Assign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1_Interface_DataTypes"/>
      <sheetName val="S2_NamedRanges_Validation"/>
      <sheetName val="S3_Sort_Filter"/>
      <sheetName val="S4_AdvFilter_Views"/>
      <sheetName val="S5_Text_Functions_1"/>
      <sheetName val="S6_Text_Cleaning"/>
      <sheetName val="S7_Date_Time"/>
      <sheetName val="S8_Logical"/>
      <sheetName val="S9_VLOOKUP_HLOOKUP"/>
      <sheetName val="S10_XLOOKUP"/>
      <sheetName val="S11_INDEX_MATCH"/>
      <sheetName val="S12_Conditional_Formatting"/>
      <sheetName val="S13_PivotTables_Basics"/>
      <sheetName val="S14_PivotTables_Advanced"/>
      <sheetName val="S15-16_PivotCharts_Dashboards"/>
      <sheetName val="S17_PowerQuery_Basics"/>
      <sheetName val="S18_PowerQuery_Merge_Append"/>
      <sheetName val="S19_Dashboard_Design"/>
      <sheetName val="S20_Superstore_CaseStudy"/>
      <sheetName val="S21_Integration_MiniDashboard"/>
      <sheetName val="S22_Macros_Recording"/>
      <sheetName val="S23_VBA_Basics"/>
      <sheetName val="S24_VBA_Automation_Proj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9">
          <cell r="B49" t="str">
            <v>Matches Played</v>
          </cell>
          <cell r="C49" t="str">
            <v>Matches Won</v>
          </cell>
        </row>
        <row r="50">
          <cell r="A50" t="str">
            <v>Mumbai Indians</v>
          </cell>
          <cell r="B50">
            <v>19</v>
          </cell>
          <cell r="C50">
            <v>8</v>
          </cell>
        </row>
        <row r="51">
          <cell r="A51" t="str">
            <v>Chennai Super Kings</v>
          </cell>
          <cell r="B51">
            <v>19</v>
          </cell>
          <cell r="C51">
            <v>6</v>
          </cell>
        </row>
        <row r="52">
          <cell r="A52" t="str">
            <v>Gujarat Titans</v>
          </cell>
          <cell r="B52">
            <v>9</v>
          </cell>
          <cell r="C52">
            <v>6</v>
          </cell>
        </row>
        <row r="53">
          <cell r="A53" t="str">
            <v>Kolkata Knight Riders</v>
          </cell>
          <cell r="B53">
            <v>15</v>
          </cell>
          <cell r="C53">
            <v>8</v>
          </cell>
        </row>
        <row r="54">
          <cell r="A54" t="str">
            <v>Rajasthan Royals</v>
          </cell>
          <cell r="B54">
            <v>18</v>
          </cell>
          <cell r="C54">
            <v>12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FE00-F009-4523-94DF-A9C46DC2D359}">
  <dimension ref="A1:K83"/>
  <sheetViews>
    <sheetView tabSelected="1" topLeftCell="A45" workbookViewId="0">
      <selection activeCell="C57" sqref="C57"/>
    </sheetView>
  </sheetViews>
  <sheetFormatPr defaultColWidth="8.5703125" defaultRowHeight="15" x14ac:dyDescent="0.25"/>
  <cols>
    <col min="1" max="1" width="19.28515625" bestFit="1" customWidth="1"/>
    <col min="2" max="3" width="20" customWidth="1"/>
    <col min="4" max="4" width="16" customWidth="1"/>
    <col min="5" max="5" width="20" customWidth="1"/>
  </cols>
  <sheetData>
    <row r="1" spans="1:11" ht="15.75" x14ac:dyDescent="0.25">
      <c r="A1" s="2" t="s">
        <v>0</v>
      </c>
      <c r="B1" s="2"/>
      <c r="C1" s="2"/>
      <c r="D1" s="2"/>
      <c r="E1" s="2"/>
      <c r="F1" s="2"/>
    </row>
    <row r="2" spans="1:11" ht="15.75" x14ac:dyDescent="0.25">
      <c r="A2" s="3"/>
      <c r="B2" s="3"/>
      <c r="C2" s="3"/>
      <c r="D2" s="3"/>
      <c r="E2" s="3"/>
      <c r="F2" s="3"/>
    </row>
    <row r="3" spans="1:11" ht="27.75" customHeight="1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5" spans="1:11" x14ac:dyDescent="0.25">
      <c r="A5" s="8" t="s">
        <v>2</v>
      </c>
      <c r="B5" s="8" t="s">
        <v>3</v>
      </c>
      <c r="C5" s="8" t="s">
        <v>4</v>
      </c>
      <c r="D5" s="8" t="s">
        <v>5</v>
      </c>
      <c r="E5" s="9" t="s">
        <v>6</v>
      </c>
      <c r="F5" s="11"/>
    </row>
    <row r="6" spans="1:11" x14ac:dyDescent="0.25">
      <c r="A6" s="6">
        <v>45738</v>
      </c>
      <c r="B6" s="7" t="s">
        <v>7</v>
      </c>
      <c r="C6" s="7" t="s">
        <v>8</v>
      </c>
      <c r="D6" s="7" t="s">
        <v>9</v>
      </c>
      <c r="E6" s="10" t="s">
        <v>8</v>
      </c>
      <c r="F6" s="11"/>
    </row>
    <row r="7" spans="1:11" x14ac:dyDescent="0.25">
      <c r="A7" s="6">
        <v>45739</v>
      </c>
      <c r="B7" s="7" t="s">
        <v>8</v>
      </c>
      <c r="C7" s="7" t="s">
        <v>10</v>
      </c>
      <c r="D7" s="7" t="s">
        <v>9</v>
      </c>
      <c r="E7" s="10" t="s">
        <v>8</v>
      </c>
      <c r="F7" s="11"/>
    </row>
    <row r="8" spans="1:11" x14ac:dyDescent="0.25">
      <c r="A8" s="6">
        <v>45740</v>
      </c>
      <c r="B8" s="7" t="s">
        <v>7</v>
      </c>
      <c r="C8" s="7" t="s">
        <v>10</v>
      </c>
      <c r="D8" s="7" t="s">
        <v>11</v>
      </c>
      <c r="E8" s="10" t="s">
        <v>7</v>
      </c>
      <c r="F8" s="11"/>
    </row>
    <row r="9" spans="1:11" x14ac:dyDescent="0.25">
      <c r="A9" s="6">
        <v>45741</v>
      </c>
      <c r="B9" s="7" t="s">
        <v>12</v>
      </c>
      <c r="C9" s="7" t="s">
        <v>10</v>
      </c>
      <c r="D9" s="7" t="s">
        <v>9</v>
      </c>
      <c r="E9" s="10" t="s">
        <v>12</v>
      </c>
      <c r="F9" s="11"/>
    </row>
    <row r="10" spans="1:11" x14ac:dyDescent="0.25">
      <c r="A10" s="6">
        <v>45742</v>
      </c>
      <c r="B10" s="7" t="s">
        <v>13</v>
      </c>
      <c r="C10" s="7" t="s">
        <v>7</v>
      </c>
      <c r="D10" s="7" t="s">
        <v>9</v>
      </c>
      <c r="E10" s="10" t="s">
        <v>7</v>
      </c>
      <c r="F10" s="11"/>
    </row>
    <row r="11" spans="1:11" x14ac:dyDescent="0.25">
      <c r="A11" s="6">
        <v>45743</v>
      </c>
      <c r="B11" s="7" t="s">
        <v>10</v>
      </c>
      <c r="C11" s="7" t="s">
        <v>13</v>
      </c>
      <c r="D11" s="7" t="s">
        <v>14</v>
      </c>
      <c r="E11" s="10" t="s">
        <v>10</v>
      </c>
      <c r="F11" s="11"/>
    </row>
    <row r="12" spans="1:11" x14ac:dyDescent="0.25">
      <c r="A12" s="6">
        <v>45744</v>
      </c>
      <c r="B12" s="7" t="s">
        <v>13</v>
      </c>
      <c r="C12" s="7" t="s">
        <v>10</v>
      </c>
      <c r="D12" s="7" t="s">
        <v>9</v>
      </c>
      <c r="E12" s="10" t="s">
        <v>13</v>
      </c>
      <c r="F12" s="11"/>
    </row>
    <row r="13" spans="1:11" x14ac:dyDescent="0.25">
      <c r="A13" s="6">
        <v>45745</v>
      </c>
      <c r="B13" s="7" t="s">
        <v>13</v>
      </c>
      <c r="C13" s="7" t="s">
        <v>7</v>
      </c>
      <c r="D13" s="7" t="s">
        <v>11</v>
      </c>
      <c r="E13" s="10" t="s">
        <v>7</v>
      </c>
      <c r="F13" s="11"/>
    </row>
    <row r="14" spans="1:11" x14ac:dyDescent="0.25">
      <c r="A14" s="6">
        <v>45746</v>
      </c>
      <c r="B14" s="7" t="s">
        <v>8</v>
      </c>
      <c r="C14" s="7" t="s">
        <v>10</v>
      </c>
      <c r="D14" s="7" t="s">
        <v>15</v>
      </c>
      <c r="E14" s="10" t="s">
        <v>8</v>
      </c>
      <c r="F14" s="11"/>
    </row>
    <row r="15" spans="1:11" x14ac:dyDescent="0.25">
      <c r="A15" s="6">
        <v>45747</v>
      </c>
      <c r="B15" s="7" t="s">
        <v>7</v>
      </c>
      <c r="C15" s="7" t="s">
        <v>13</v>
      </c>
      <c r="D15" s="7" t="s">
        <v>11</v>
      </c>
      <c r="E15" s="10" t="s">
        <v>7</v>
      </c>
      <c r="F15" s="11"/>
    </row>
    <row r="16" spans="1:11" x14ac:dyDescent="0.25">
      <c r="A16" s="6">
        <v>45748</v>
      </c>
      <c r="B16" s="7" t="s">
        <v>12</v>
      </c>
      <c r="C16" s="7" t="s">
        <v>7</v>
      </c>
      <c r="D16" s="7" t="s">
        <v>15</v>
      </c>
      <c r="E16" s="10" t="s">
        <v>12</v>
      </c>
      <c r="F16" s="11"/>
    </row>
    <row r="17" spans="1:6" x14ac:dyDescent="0.25">
      <c r="A17" s="6">
        <v>45749</v>
      </c>
      <c r="B17" s="7" t="s">
        <v>12</v>
      </c>
      <c r="C17" s="7" t="s">
        <v>10</v>
      </c>
      <c r="D17" s="7" t="s">
        <v>14</v>
      </c>
      <c r="E17" s="10" t="s">
        <v>10</v>
      </c>
      <c r="F17" s="11"/>
    </row>
    <row r="18" spans="1:6" x14ac:dyDescent="0.25">
      <c r="A18" s="6">
        <v>45750</v>
      </c>
      <c r="B18" s="7" t="s">
        <v>13</v>
      </c>
      <c r="C18" s="7" t="s">
        <v>8</v>
      </c>
      <c r="D18" s="7" t="s">
        <v>14</v>
      </c>
      <c r="E18" s="10" t="s">
        <v>8</v>
      </c>
      <c r="F18" s="11"/>
    </row>
    <row r="19" spans="1:6" x14ac:dyDescent="0.25">
      <c r="A19" s="6">
        <v>45751</v>
      </c>
      <c r="B19" s="7" t="s">
        <v>12</v>
      </c>
      <c r="C19" s="7" t="s">
        <v>7</v>
      </c>
      <c r="D19" s="7" t="s">
        <v>14</v>
      </c>
      <c r="E19" s="10" t="s">
        <v>12</v>
      </c>
      <c r="F19" s="11"/>
    </row>
    <row r="20" spans="1:6" x14ac:dyDescent="0.25">
      <c r="A20" s="6">
        <v>45752</v>
      </c>
      <c r="B20" s="7" t="s">
        <v>13</v>
      </c>
      <c r="C20" s="7" t="s">
        <v>10</v>
      </c>
      <c r="D20" s="7" t="s">
        <v>14</v>
      </c>
      <c r="E20" s="10" t="s">
        <v>13</v>
      </c>
      <c r="F20" s="11"/>
    </row>
    <row r="21" spans="1:6" x14ac:dyDescent="0.25">
      <c r="A21" s="6">
        <v>45753</v>
      </c>
      <c r="B21" s="7" t="s">
        <v>7</v>
      </c>
      <c r="C21" s="7" t="s">
        <v>8</v>
      </c>
      <c r="D21" s="7" t="s">
        <v>11</v>
      </c>
      <c r="E21" s="10" t="s">
        <v>8</v>
      </c>
      <c r="F21" s="11"/>
    </row>
    <row r="22" spans="1:6" x14ac:dyDescent="0.25">
      <c r="A22" s="6">
        <v>45754</v>
      </c>
      <c r="B22" s="7" t="s">
        <v>13</v>
      </c>
      <c r="C22" s="7" t="s">
        <v>10</v>
      </c>
      <c r="D22" s="7" t="s">
        <v>15</v>
      </c>
      <c r="E22" s="10" t="s">
        <v>10</v>
      </c>
      <c r="F22" s="11"/>
    </row>
    <row r="23" spans="1:6" x14ac:dyDescent="0.25">
      <c r="A23" s="6">
        <v>45755</v>
      </c>
      <c r="B23" s="7" t="s">
        <v>13</v>
      </c>
      <c r="C23" s="7" t="s">
        <v>12</v>
      </c>
      <c r="D23" s="7" t="s">
        <v>14</v>
      </c>
      <c r="E23" s="10" t="s">
        <v>12</v>
      </c>
      <c r="F23" s="11"/>
    </row>
    <row r="24" spans="1:6" x14ac:dyDescent="0.25">
      <c r="A24" s="6">
        <v>45756</v>
      </c>
      <c r="B24" s="7" t="s">
        <v>7</v>
      </c>
      <c r="C24" s="7" t="s">
        <v>13</v>
      </c>
      <c r="D24" s="7" t="s">
        <v>16</v>
      </c>
      <c r="E24" s="10" t="s">
        <v>7</v>
      </c>
      <c r="F24" s="11"/>
    </row>
    <row r="25" spans="1:6" x14ac:dyDescent="0.25">
      <c r="A25" s="6">
        <v>45757</v>
      </c>
      <c r="B25" s="7" t="s">
        <v>13</v>
      </c>
      <c r="C25" s="7" t="s">
        <v>8</v>
      </c>
      <c r="D25" s="7" t="s">
        <v>11</v>
      </c>
      <c r="E25" s="10" t="s">
        <v>13</v>
      </c>
      <c r="F25" s="11"/>
    </row>
    <row r="26" spans="1:6" x14ac:dyDescent="0.25">
      <c r="A26" s="6">
        <v>45758</v>
      </c>
      <c r="B26" s="7" t="s">
        <v>7</v>
      </c>
      <c r="C26" s="7" t="s">
        <v>10</v>
      </c>
      <c r="D26" s="7" t="s">
        <v>11</v>
      </c>
      <c r="E26" s="10" t="s">
        <v>7</v>
      </c>
      <c r="F26" s="11"/>
    </row>
    <row r="27" spans="1:6" x14ac:dyDescent="0.25">
      <c r="A27" s="6">
        <v>45759</v>
      </c>
      <c r="B27" s="7" t="s">
        <v>8</v>
      </c>
      <c r="C27" s="7" t="s">
        <v>10</v>
      </c>
      <c r="D27" s="7" t="s">
        <v>11</v>
      </c>
      <c r="E27" s="10" t="s">
        <v>8</v>
      </c>
      <c r="F27" s="11"/>
    </row>
    <row r="28" spans="1:6" x14ac:dyDescent="0.25">
      <c r="A28" s="6">
        <v>45760</v>
      </c>
      <c r="B28" s="7" t="s">
        <v>7</v>
      </c>
      <c r="C28" s="7" t="s">
        <v>13</v>
      </c>
      <c r="D28" s="7" t="s">
        <v>11</v>
      </c>
      <c r="E28" s="10" t="s">
        <v>13</v>
      </c>
      <c r="F28" s="11"/>
    </row>
    <row r="29" spans="1:6" x14ac:dyDescent="0.25">
      <c r="A29" s="6">
        <v>45761</v>
      </c>
      <c r="B29" s="7" t="s">
        <v>10</v>
      </c>
      <c r="C29" s="7" t="s">
        <v>13</v>
      </c>
      <c r="D29" s="7" t="s">
        <v>9</v>
      </c>
      <c r="E29" s="10" t="s">
        <v>13</v>
      </c>
      <c r="F29" s="11"/>
    </row>
    <row r="30" spans="1:6" x14ac:dyDescent="0.25">
      <c r="A30" s="6">
        <v>45762</v>
      </c>
      <c r="B30" s="7" t="s">
        <v>12</v>
      </c>
      <c r="C30" s="7" t="s">
        <v>13</v>
      </c>
      <c r="D30" s="7" t="s">
        <v>16</v>
      </c>
      <c r="E30" s="10" t="s">
        <v>12</v>
      </c>
      <c r="F30" s="11"/>
    </row>
    <row r="31" spans="1:6" x14ac:dyDescent="0.25">
      <c r="A31" s="6">
        <v>45763</v>
      </c>
      <c r="B31" s="7" t="s">
        <v>7</v>
      </c>
      <c r="C31" s="7" t="s">
        <v>13</v>
      </c>
      <c r="D31" s="7" t="s">
        <v>16</v>
      </c>
      <c r="E31" s="10" t="s">
        <v>7</v>
      </c>
      <c r="F31" s="11"/>
    </row>
    <row r="32" spans="1:6" x14ac:dyDescent="0.25">
      <c r="A32" s="6">
        <v>45764</v>
      </c>
      <c r="B32" s="7" t="s">
        <v>10</v>
      </c>
      <c r="C32" s="7" t="s">
        <v>7</v>
      </c>
      <c r="D32" s="7" t="s">
        <v>14</v>
      </c>
      <c r="E32" s="10" t="s">
        <v>7</v>
      </c>
      <c r="F32" s="11"/>
    </row>
    <row r="33" spans="1:6" x14ac:dyDescent="0.25">
      <c r="A33" s="6">
        <v>45765</v>
      </c>
      <c r="B33" s="7" t="s">
        <v>8</v>
      </c>
      <c r="C33" s="7" t="s">
        <v>12</v>
      </c>
      <c r="D33" s="7" t="s">
        <v>11</v>
      </c>
      <c r="E33" s="10" t="s">
        <v>12</v>
      </c>
      <c r="F33" s="11"/>
    </row>
    <row r="34" spans="1:6" x14ac:dyDescent="0.25">
      <c r="A34" s="6">
        <v>45766</v>
      </c>
      <c r="B34" s="7" t="s">
        <v>13</v>
      </c>
      <c r="C34" s="7" t="s">
        <v>8</v>
      </c>
      <c r="D34" s="7" t="s">
        <v>16</v>
      </c>
      <c r="E34" s="10" t="s">
        <v>13</v>
      </c>
      <c r="F34" s="11"/>
    </row>
    <row r="35" spans="1:6" x14ac:dyDescent="0.25">
      <c r="A35" s="6">
        <v>45767</v>
      </c>
      <c r="B35" s="7" t="s">
        <v>8</v>
      </c>
      <c r="C35" s="7" t="s">
        <v>10</v>
      </c>
      <c r="D35" s="7" t="s">
        <v>9</v>
      </c>
      <c r="E35" s="10" t="s">
        <v>8</v>
      </c>
      <c r="F35" s="11"/>
    </row>
    <row r="36" spans="1:6" x14ac:dyDescent="0.25">
      <c r="A36" s="6">
        <v>45768</v>
      </c>
      <c r="B36" s="7" t="s">
        <v>12</v>
      </c>
      <c r="C36" s="7" t="s">
        <v>8</v>
      </c>
      <c r="D36" s="7" t="s">
        <v>16</v>
      </c>
      <c r="E36" s="10" t="s">
        <v>8</v>
      </c>
      <c r="F36" s="11"/>
    </row>
    <row r="37" spans="1:6" x14ac:dyDescent="0.25">
      <c r="A37" s="6">
        <v>45769</v>
      </c>
      <c r="B37" s="7" t="s">
        <v>8</v>
      </c>
      <c r="C37" s="7" t="s">
        <v>7</v>
      </c>
      <c r="D37" s="7" t="s">
        <v>11</v>
      </c>
      <c r="E37" s="10" t="s">
        <v>8</v>
      </c>
      <c r="F37" s="11"/>
    </row>
    <row r="38" spans="1:6" x14ac:dyDescent="0.25">
      <c r="A38" s="6">
        <v>45770</v>
      </c>
      <c r="B38" s="7" t="s">
        <v>10</v>
      </c>
      <c r="C38" s="7" t="s">
        <v>8</v>
      </c>
      <c r="D38" s="7" t="s">
        <v>16</v>
      </c>
      <c r="E38" s="10" t="s">
        <v>8</v>
      </c>
      <c r="F38" s="11"/>
    </row>
    <row r="39" spans="1:6" x14ac:dyDescent="0.25">
      <c r="A39" s="6">
        <v>45771</v>
      </c>
      <c r="B39" s="7" t="s">
        <v>8</v>
      </c>
      <c r="C39" s="7" t="s">
        <v>10</v>
      </c>
      <c r="D39" s="7" t="s">
        <v>16</v>
      </c>
      <c r="E39" s="10" t="s">
        <v>8</v>
      </c>
      <c r="F39" s="11"/>
    </row>
    <row r="40" spans="1:6" x14ac:dyDescent="0.25">
      <c r="A40" s="6">
        <v>45772</v>
      </c>
      <c r="B40" s="7" t="s">
        <v>8</v>
      </c>
      <c r="C40" s="7" t="s">
        <v>10</v>
      </c>
      <c r="D40" s="7" t="s">
        <v>11</v>
      </c>
      <c r="E40" s="10" t="s">
        <v>10</v>
      </c>
      <c r="F40" s="11"/>
    </row>
    <row r="41" spans="1:6" x14ac:dyDescent="0.25">
      <c r="A41" s="6">
        <v>45773</v>
      </c>
      <c r="B41" s="7" t="s">
        <v>8</v>
      </c>
      <c r="C41" s="7" t="s">
        <v>13</v>
      </c>
      <c r="D41" s="7" t="s">
        <v>14</v>
      </c>
      <c r="E41" s="10" t="s">
        <v>13</v>
      </c>
      <c r="F41" s="11"/>
    </row>
    <row r="42" spans="1:6" x14ac:dyDescent="0.25">
      <c r="A42" s="6">
        <v>45774</v>
      </c>
      <c r="B42" s="7" t="s">
        <v>13</v>
      </c>
      <c r="C42" s="7" t="s">
        <v>8</v>
      </c>
      <c r="D42" s="7" t="s">
        <v>9</v>
      </c>
      <c r="E42" s="10" t="s">
        <v>13</v>
      </c>
      <c r="F42" s="11"/>
    </row>
    <row r="43" spans="1:6" x14ac:dyDescent="0.25">
      <c r="A43" s="6">
        <v>45775</v>
      </c>
      <c r="B43" s="7" t="s">
        <v>12</v>
      </c>
      <c r="C43" s="7" t="s">
        <v>10</v>
      </c>
      <c r="D43" s="7" t="s">
        <v>15</v>
      </c>
      <c r="E43" s="10" t="s">
        <v>10</v>
      </c>
      <c r="F43" s="11"/>
    </row>
    <row r="44" spans="1:6" x14ac:dyDescent="0.25">
      <c r="A44" s="6">
        <v>45776</v>
      </c>
      <c r="B44" s="7" t="s">
        <v>7</v>
      </c>
      <c r="C44" s="7" t="s">
        <v>8</v>
      </c>
      <c r="D44" s="7" t="s">
        <v>9</v>
      </c>
      <c r="E44" s="10" t="s">
        <v>8</v>
      </c>
      <c r="F44" s="11"/>
    </row>
    <row r="45" spans="1:6" x14ac:dyDescent="0.25">
      <c r="A45" s="6">
        <v>45777</v>
      </c>
      <c r="B45" s="7" t="s">
        <v>10</v>
      </c>
      <c r="C45" s="7" t="s">
        <v>13</v>
      </c>
      <c r="D45" s="7" t="s">
        <v>16</v>
      </c>
      <c r="E45" s="10" t="s">
        <v>10</v>
      </c>
      <c r="F45" s="11"/>
    </row>
    <row r="48" spans="1:6" x14ac:dyDescent="0.25">
      <c r="A48" s="12"/>
      <c r="B48" s="12"/>
      <c r="C48" s="12"/>
      <c r="D48" s="12"/>
      <c r="E48" s="12"/>
      <c r="F48" s="12"/>
    </row>
    <row r="49" spans="1:3" x14ac:dyDescent="0.25">
      <c r="A49" s="8" t="s">
        <v>17</v>
      </c>
      <c r="B49" s="8" t="s">
        <v>18</v>
      </c>
      <c r="C49" s="8" t="s">
        <v>19</v>
      </c>
    </row>
    <row r="50" spans="1:3" x14ac:dyDescent="0.25">
      <c r="A50" s="13" t="s">
        <v>13</v>
      </c>
      <c r="B50" s="13">
        <f>COUNTIF($B$6:$B$46,A50)+COUNTIF($C$6:$C$46,A50)</f>
        <v>19</v>
      </c>
      <c r="C50" s="13">
        <f>COUNTIF($E$6:$E$46,A50)</f>
        <v>8</v>
      </c>
    </row>
    <row r="51" spans="1:3" x14ac:dyDescent="0.25">
      <c r="A51" s="13" t="s">
        <v>10</v>
      </c>
      <c r="B51" s="13">
        <f>COUNTIF($B$6:$B$46,A51)+COUNTIF($C$6:$C$46,A51)</f>
        <v>19</v>
      </c>
      <c r="C51" s="13">
        <f>COUNTIF($E$6:$E$46,A51)</f>
        <v>6</v>
      </c>
    </row>
    <row r="52" spans="1:3" x14ac:dyDescent="0.25">
      <c r="A52" s="13" t="s">
        <v>12</v>
      </c>
      <c r="B52" s="13">
        <f>COUNTIF($B$6:$B$46,A52)+COUNTIF($C$6:$C$46,A52)</f>
        <v>9</v>
      </c>
      <c r="C52" s="13">
        <f>COUNTIF($E$6:$E$46,A52)</f>
        <v>6</v>
      </c>
    </row>
    <row r="53" spans="1:3" x14ac:dyDescent="0.25">
      <c r="A53" s="13" t="s">
        <v>7</v>
      </c>
      <c r="B53" s="13">
        <f>COUNTIF($B$6:$B$46,A53)+COUNTIF($C$6:$C$46,A53)</f>
        <v>15</v>
      </c>
      <c r="C53" s="13">
        <f>COUNTIF($E$6:$E$46,A53)</f>
        <v>8</v>
      </c>
    </row>
    <row r="54" spans="1:3" x14ac:dyDescent="0.25">
      <c r="A54" s="13" t="s">
        <v>8</v>
      </c>
      <c r="B54" s="13">
        <f>COUNTIF($B$6:$B$46,A54)+COUNTIF($C$6:$C$46,A54)</f>
        <v>18</v>
      </c>
      <c r="C54" s="13">
        <f>COUNTIF($E$6:$E$46,A54)</f>
        <v>12</v>
      </c>
    </row>
    <row r="67" spans="1:7" x14ac:dyDescent="0.25">
      <c r="A67" s="12" t="s">
        <v>20</v>
      </c>
      <c r="B67" s="12"/>
      <c r="C67" s="12"/>
      <c r="D67" s="12"/>
      <c r="E67" s="12"/>
      <c r="F67" s="12"/>
    </row>
    <row r="68" spans="1:7" x14ac:dyDescent="0.25">
      <c r="A68" s="14"/>
      <c r="B68" s="14"/>
      <c r="C68" s="14"/>
      <c r="D68" s="14"/>
      <c r="E68" s="14"/>
      <c r="F68" s="14"/>
    </row>
    <row r="69" spans="1:7" x14ac:dyDescent="0.25">
      <c r="A69" s="8" t="s">
        <v>17</v>
      </c>
      <c r="B69" s="8" t="s">
        <v>21</v>
      </c>
      <c r="C69" s="8" t="s">
        <v>22</v>
      </c>
      <c r="D69" s="8" t="s">
        <v>23</v>
      </c>
    </row>
    <row r="70" spans="1:7" x14ac:dyDescent="0.25">
      <c r="A70" s="13" t="s">
        <v>13</v>
      </c>
      <c r="B70" s="13">
        <v>11</v>
      </c>
      <c r="C70" s="13">
        <v>12</v>
      </c>
      <c r="D70" s="13">
        <v>14</v>
      </c>
    </row>
    <row r="71" spans="1:7" x14ac:dyDescent="0.25">
      <c r="A71" s="13" t="s">
        <v>10</v>
      </c>
      <c r="B71" s="13">
        <v>13</v>
      </c>
      <c r="C71" s="13">
        <v>13</v>
      </c>
      <c r="D71" s="13">
        <v>5</v>
      </c>
    </row>
    <row r="72" spans="1:7" x14ac:dyDescent="0.25">
      <c r="A72" s="13" t="s">
        <v>12</v>
      </c>
      <c r="B72" s="13">
        <v>8</v>
      </c>
      <c r="C72" s="13">
        <v>7</v>
      </c>
      <c r="D72" s="13">
        <v>7</v>
      </c>
    </row>
    <row r="73" spans="1:7" x14ac:dyDescent="0.25">
      <c r="A73" s="13" t="s">
        <v>7</v>
      </c>
      <c r="B73" s="13">
        <v>4</v>
      </c>
      <c r="C73" s="13">
        <v>5</v>
      </c>
      <c r="D73" s="13">
        <v>8</v>
      </c>
    </row>
    <row r="74" spans="1:7" x14ac:dyDescent="0.25">
      <c r="A74" s="13" t="s">
        <v>8</v>
      </c>
      <c r="B74" s="13">
        <v>10</v>
      </c>
      <c r="C74" s="13">
        <v>11</v>
      </c>
      <c r="D74" s="13">
        <v>7</v>
      </c>
    </row>
    <row r="76" spans="1:7" x14ac:dyDescent="0.25">
      <c r="A76" s="1" t="s">
        <v>24</v>
      </c>
      <c r="B76" s="1"/>
      <c r="C76" s="1"/>
      <c r="D76" s="1"/>
      <c r="E76" s="1"/>
      <c r="F76" s="1"/>
    </row>
    <row r="78" spans="1:7" ht="288" x14ac:dyDescent="0.25">
      <c r="A78" s="5" t="s">
        <v>25</v>
      </c>
      <c r="B78" s="5"/>
      <c r="C78" s="5"/>
      <c r="D78" s="5"/>
      <c r="E78" s="5"/>
      <c r="F78" s="5"/>
    </row>
    <row r="79" spans="1:7" x14ac:dyDescent="0.25">
      <c r="G79" s="5"/>
    </row>
    <row r="81" ht="27.75" customHeight="1" x14ac:dyDescent="0.25"/>
    <row r="83" ht="27.75" customHeight="1" x14ac:dyDescent="0.25"/>
  </sheetData>
  <mergeCells count="5">
    <mergeCell ref="A76:F76"/>
    <mergeCell ref="A67:F67"/>
    <mergeCell ref="A48:F48"/>
    <mergeCell ref="A1:F1"/>
    <mergeCell ref="A3:K3"/>
  </mergeCells>
  <conditionalFormatting sqref="B70:B74">
    <cfRule type="expression" dxfId="0" priority="6">
      <formula>B70=MAX($B$70:$B$74)</formula>
    </cfRule>
    <cfRule type="top10" dxfId="1" priority="1" rank="1"/>
  </conditionalFormatting>
  <conditionalFormatting sqref="C70:C74">
    <cfRule type="expression" dxfId="14" priority="7">
      <formula>C70=MAX($C$70:$C$74)</formula>
    </cfRule>
    <cfRule type="top10" dxfId="13" priority="2" rank="1"/>
  </conditionalFormatting>
  <conditionalFormatting sqref="D70:D74">
    <cfRule type="expression" dxfId="12" priority="8">
      <formula>D70=MAX($D$70:$D$74)</formula>
    </cfRule>
  </conditionalFormatting>
  <conditionalFormatting sqref="B70:D74">
    <cfRule type="top10" dxfId="11" priority="5" rank="1"/>
  </conditionalFormatting>
  <conditionalFormatting sqref="C70:C74">
    <cfRule type="expression" dxfId="10" priority="4">
      <formula>C70=MAX($D$70:$D$74)</formula>
    </cfRule>
  </conditionalFormatting>
  <conditionalFormatting sqref="C71">
    <cfRule type="expression" dxfId="9" priority="3">
      <formula>C71=MAX($D$70:$D$74)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2026-07-21T09:47:42Z</dcterms:created>
  <dcterms:modified xsi:type="dcterms:W3CDTF">2026-07-21T09:57:24Z</dcterms:modified>
</cp:coreProperties>
</file>