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EB41E172-FF17-4125-8016-A60828DBC440}" xr6:coauthVersionLast="47" xr6:coauthVersionMax="47" xr10:uidLastSave="{00000000-0000-0000-0000-000000000000}"/>
  <bookViews>
    <workbookView xWindow="-120" yWindow="-120" windowWidth="20730" windowHeight="11160" xr2:uid="{56A241CF-260F-4F49-9FE8-B324FAA49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3" i="1" l="1"/>
  <c r="B59" i="1"/>
  <c r="B46" i="1"/>
  <c r="B33" i="1"/>
  <c r="B19" i="1"/>
</calcChain>
</file>

<file path=xl/sharedStrings.xml><?xml version="1.0" encoding="utf-8"?>
<sst xmlns="http://schemas.openxmlformats.org/spreadsheetml/2006/main" count="112" uniqueCount="98">
  <si>
    <t>Session 10 - Modern Lookup Functions (XLOOKUP)</t>
  </si>
  <si>
    <t>Task 1: Find product name by Product ID</t>
  </si>
  <si>
    <t>Product ID</t>
  </si>
  <si>
    <t>Product Name</t>
  </si>
  <si>
    <t>Category</t>
  </si>
  <si>
    <t>Price</t>
  </si>
  <si>
    <t>P100</t>
  </si>
  <si>
    <t>Wireless Earbuds</t>
  </si>
  <si>
    <t>Electronics</t>
  </si>
  <si>
    <t>P101</t>
  </si>
  <si>
    <t>Smart Watch</t>
  </si>
  <si>
    <t>P102</t>
  </si>
  <si>
    <t>Laptop Bag</t>
  </si>
  <si>
    <t>Accessories</t>
  </si>
  <si>
    <t>P103</t>
  </si>
  <si>
    <t>Bluetooth Speaker</t>
  </si>
  <si>
    <t>P104</t>
  </si>
  <si>
    <t>Phone Cover</t>
  </si>
  <si>
    <t>P105</t>
  </si>
  <si>
    <t>Power Bank</t>
  </si>
  <si>
    <t>P106</t>
  </si>
  <si>
    <t>Gaming Mouse</t>
  </si>
  <si>
    <t>P107</t>
  </si>
  <si>
    <t>USB-C Cable</t>
  </si>
  <si>
    <t>P108</t>
  </si>
  <si>
    <t>Study Lamp</t>
  </si>
  <si>
    <t>Home</t>
  </si>
  <si>
    <t>P109</t>
  </si>
  <si>
    <t>Air Fryer</t>
  </si>
  <si>
    <t>Search ID:</t>
  </si>
  <si>
    <t>Name (INDEX/MATCH):</t>
  </si>
  <si>
    <t>Equivalent XLOOKUP syntax (Excel 365):</t>
  </si>
  <si>
    <t>XLOOKUP(B19,A7:A17,B7:B17)  &lt;- reference only, not a live formula</t>
  </si>
  <si>
    <t>Task 2: Last order amount for a restaurant (search from bottom)</t>
  </si>
  <si>
    <t>Order ID</t>
  </si>
  <si>
    <t>Restaurant Name</t>
  </si>
  <si>
    <t>Order Date</t>
  </si>
  <si>
    <t>Amount</t>
  </si>
  <si>
    <t>O1</t>
  </si>
  <si>
    <t>Domino's</t>
  </si>
  <si>
    <t>O2</t>
  </si>
  <si>
    <t>O3</t>
  </si>
  <si>
    <t>KFC</t>
  </si>
  <si>
    <t>O4</t>
  </si>
  <si>
    <t>O5</t>
  </si>
  <si>
    <t>Restaurant:</t>
  </si>
  <si>
    <t>Last order amount (search bottom-up, non-array LOOKUP trick):</t>
  </si>
  <si>
    <t>Equivalent XLOOKUP (search_mode=-1, bottom to top):</t>
  </si>
  <si>
    <t>XLOOKUP(B33,B26:B31,D26:D31,,0,-1)  &lt;- reference only, not a live formula</t>
  </si>
  <si>
    <t>Task 3: Playlist genre search with default 'No playlist available'</t>
  </si>
  <si>
    <t>Playlist Name</t>
  </si>
  <si>
    <t>Genre</t>
  </si>
  <si>
    <t>Created By</t>
  </si>
  <si>
    <t>Number of Songs</t>
  </si>
  <si>
    <t>Chill Vibes</t>
  </si>
  <si>
    <t>Lo-fi</t>
  </si>
  <si>
    <t>User1</t>
  </si>
  <si>
    <t>Workout Mix</t>
  </si>
  <si>
    <t>EDM</t>
  </si>
  <si>
    <t>User2</t>
  </si>
  <si>
    <t>Bollywood Hits</t>
  </si>
  <si>
    <t>Bollywood</t>
  </si>
  <si>
    <t>User3</t>
  </si>
  <si>
    <t>Search Genre:</t>
  </si>
  <si>
    <t>Jazz</t>
  </si>
  <si>
    <t>Result (IFERROR default):</t>
  </si>
  <si>
    <t>Equivalent XLOOKUP (built-in if_not_found arg):</t>
  </si>
  <si>
    <t>XLOOKUP(B45,B40:B43,A40:A43,"No playlist available")  &lt;- reference only, not a live formula</t>
  </si>
  <si>
    <t>Task 4: IRCTC booking status with custom error message</t>
  </si>
  <si>
    <t>Booking ID</t>
  </si>
  <si>
    <t>Passenger Name</t>
  </si>
  <si>
    <t>Train Number</t>
  </si>
  <si>
    <t>Status</t>
  </si>
  <si>
    <t>BK1</t>
  </si>
  <si>
    <t>Rahul Verma</t>
  </si>
  <si>
    <t>12951</t>
  </si>
  <si>
    <t>Confirmed</t>
  </si>
  <si>
    <t>BK2</t>
  </si>
  <si>
    <t>Sneha Rao</t>
  </si>
  <si>
    <t>12952</t>
  </si>
  <si>
    <t>Waitlisted</t>
  </si>
  <si>
    <t>BK3</t>
  </si>
  <si>
    <t>Aman Gupta</t>
  </si>
  <si>
    <t>12953</t>
  </si>
  <si>
    <t>Search (wrong) Booking ID:</t>
  </si>
  <si>
    <t>BK9</t>
  </si>
  <si>
    <t>Status (custom error):</t>
  </si>
  <si>
    <t>Equivalent XLOOKUP:</t>
  </si>
  <si>
    <t>XLOOKUP(B57,A52:A55,D52:D55,"Booking Not Found")  &lt;- reference only, not a live formula</t>
  </si>
  <si>
    <t>Task 5: Myntra delivery date by Order ID (ChatGPT-generated XLOOKUP)</t>
  </si>
  <si>
    <t>Delivery Date</t>
  </si>
  <si>
    <t>MY1</t>
  </si>
  <si>
    <t>MY2</t>
  </si>
  <si>
    <t>MY3</t>
  </si>
  <si>
    <t>Prompt used: "Write an XLOOKUP formula to find the delivery date for an order by Order ID in Excel."</t>
  </si>
  <si>
    <t>ChatGPT-style XLOOKUP answer:</t>
  </si>
  <si>
    <t>XLOOKUP("MY2",A64:A67,B64:B67)  &lt;- reference only, not a live formula</t>
  </si>
  <si>
    <t>Working equivalent in this file (INDEX/MATCH):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</si>
</sst>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7" x14ac:knownFonts="1">
    <font>
      <sz val="11"/>
      <color theme="1"/>
      <name val="Aptos Narrow"/>
      <family val="2"/>
      <scheme val="minor"/>
    </font>
    <font>
      <i/>
      <sz val="9"/>
      <color rgb="FF666666"/>
      <name val="Arial"/>
      <family val="2"/>
    </font>
    <font>
      <b/>
      <i/>
      <sz val="11"/>
      <color rgb="FF444444"/>
      <name val="Arial"/>
      <family val="2"/>
    </font>
    <font>
      <sz val="10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1" fillId="0" borderId="0" xfId="0" applyFont="1"/>
    <xf numFmtId="165" fontId="3" fillId="0" borderId="0" xfId="0" applyNumberFormat="1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/>
    <xf numFmtId="0" fontId="3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/>
    <xf numFmtId="164" fontId="3" fillId="0" borderId="1" xfId="0" applyNumberFormat="1" applyFont="1" applyBorder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0FCA-CC45-46AF-BDEA-9DEDF98B6431}">
  <dimension ref="A1:G73"/>
  <sheetViews>
    <sheetView tabSelected="1" workbookViewId="0">
      <selection activeCell="G5" sqref="G5"/>
    </sheetView>
  </sheetViews>
  <sheetFormatPr defaultColWidth="8.5703125" defaultRowHeight="15" x14ac:dyDescent="0.25"/>
  <cols>
    <col min="1" max="1" width="24" customWidth="1"/>
    <col min="2" max="4" width="16" customWidth="1"/>
  </cols>
  <sheetData>
    <row r="1" spans="1:7" x14ac:dyDescent="0.25">
      <c r="A1" s="4" t="s">
        <v>0</v>
      </c>
      <c r="B1" s="4"/>
      <c r="C1" s="4"/>
      <c r="D1" s="4"/>
      <c r="E1" s="4"/>
      <c r="F1" s="4"/>
    </row>
    <row r="2" spans="1:7" ht="15" customHeight="1" x14ac:dyDescent="0.25">
      <c r="A2" s="12"/>
      <c r="B2" s="12"/>
      <c r="C2" s="12"/>
      <c r="D2" s="12"/>
      <c r="E2" s="12"/>
      <c r="F2" s="12"/>
      <c r="G2" s="12"/>
    </row>
    <row r="3" spans="1:7" x14ac:dyDescent="0.25">
      <c r="A3" s="7" t="s">
        <v>1</v>
      </c>
      <c r="B3" s="7"/>
      <c r="C3" s="7"/>
      <c r="D3" s="7"/>
      <c r="E3" s="7"/>
      <c r="F3" s="7"/>
    </row>
    <row r="4" spans="1:7" x14ac:dyDescent="0.25">
      <c r="A4" s="7"/>
      <c r="B4" s="5"/>
      <c r="C4" s="5"/>
      <c r="D4" s="5"/>
      <c r="E4" s="5"/>
      <c r="F4" s="5"/>
    </row>
    <row r="5" spans="1:7" x14ac:dyDescent="0.25">
      <c r="A5" s="9" t="s">
        <v>2</v>
      </c>
      <c r="B5" s="9" t="s">
        <v>3</v>
      </c>
      <c r="C5" s="9" t="s">
        <v>4</v>
      </c>
      <c r="D5" s="9" t="s">
        <v>5</v>
      </c>
    </row>
    <row r="6" spans="1:7" x14ac:dyDescent="0.25">
      <c r="A6" s="8" t="s">
        <v>6</v>
      </c>
      <c r="B6" s="8" t="s">
        <v>7</v>
      </c>
      <c r="C6" s="8" t="s">
        <v>8</v>
      </c>
      <c r="D6" s="8">
        <v>1499</v>
      </c>
    </row>
    <row r="7" spans="1:7" x14ac:dyDescent="0.25">
      <c r="A7" s="8" t="s">
        <v>9</v>
      </c>
      <c r="B7" s="8" t="s">
        <v>10</v>
      </c>
      <c r="C7" s="8" t="s">
        <v>8</v>
      </c>
      <c r="D7" s="8">
        <v>2999</v>
      </c>
    </row>
    <row r="8" spans="1:7" x14ac:dyDescent="0.25">
      <c r="A8" s="8" t="s">
        <v>11</v>
      </c>
      <c r="B8" s="8" t="s">
        <v>12</v>
      </c>
      <c r="C8" s="8" t="s">
        <v>13</v>
      </c>
      <c r="D8" s="8">
        <v>899</v>
      </c>
    </row>
    <row r="9" spans="1:7" x14ac:dyDescent="0.25">
      <c r="A9" s="8" t="s">
        <v>14</v>
      </c>
      <c r="B9" s="8" t="s">
        <v>15</v>
      </c>
      <c r="C9" s="8" t="s">
        <v>8</v>
      </c>
      <c r="D9" s="8">
        <v>1799</v>
      </c>
    </row>
    <row r="10" spans="1:7" x14ac:dyDescent="0.25">
      <c r="A10" s="8" t="s">
        <v>16</v>
      </c>
      <c r="B10" s="8" t="s">
        <v>17</v>
      </c>
      <c r="C10" s="8" t="s">
        <v>13</v>
      </c>
      <c r="D10" s="8">
        <v>249</v>
      </c>
    </row>
    <row r="11" spans="1:7" x14ac:dyDescent="0.25">
      <c r="A11" s="8" t="s">
        <v>18</v>
      </c>
      <c r="B11" s="8" t="s">
        <v>19</v>
      </c>
      <c r="C11" s="8" t="s">
        <v>8</v>
      </c>
      <c r="D11" s="8">
        <v>1199</v>
      </c>
    </row>
    <row r="12" spans="1:7" x14ac:dyDescent="0.25">
      <c r="A12" s="8" t="s">
        <v>20</v>
      </c>
      <c r="B12" s="8" t="s">
        <v>21</v>
      </c>
      <c r="C12" s="8" t="s">
        <v>8</v>
      </c>
      <c r="D12" s="8">
        <v>699</v>
      </c>
    </row>
    <row r="13" spans="1:7" x14ac:dyDescent="0.25">
      <c r="A13" s="8" t="s">
        <v>22</v>
      </c>
      <c r="B13" s="8" t="s">
        <v>23</v>
      </c>
      <c r="C13" s="8" t="s">
        <v>13</v>
      </c>
      <c r="D13" s="8">
        <v>299</v>
      </c>
    </row>
    <row r="14" spans="1:7" x14ac:dyDescent="0.25">
      <c r="A14" s="8" t="s">
        <v>24</v>
      </c>
      <c r="B14" s="8" t="s">
        <v>25</v>
      </c>
      <c r="C14" s="8" t="s">
        <v>26</v>
      </c>
      <c r="D14" s="8">
        <v>649</v>
      </c>
    </row>
    <row r="15" spans="1:7" x14ac:dyDescent="0.25">
      <c r="A15" s="8" t="s">
        <v>27</v>
      </c>
      <c r="B15" s="8" t="s">
        <v>28</v>
      </c>
      <c r="C15" s="8" t="s">
        <v>26</v>
      </c>
      <c r="D15" s="8">
        <v>4999</v>
      </c>
    </row>
    <row r="18" spans="1:6" x14ac:dyDescent="0.25">
      <c r="A18" s="10" t="s">
        <v>29</v>
      </c>
      <c r="B18" s="1" t="s">
        <v>18</v>
      </c>
    </row>
    <row r="19" spans="1:6" x14ac:dyDescent="0.25">
      <c r="A19" s="10" t="s">
        <v>30</v>
      </c>
      <c r="B19" s="1" t="str">
        <f>INDEX(B6:B16,MATCH(B18,A6:A16,0))</f>
        <v>Power Bank</v>
      </c>
    </row>
    <row r="20" spans="1:6" x14ac:dyDescent="0.25">
      <c r="A20" s="2" t="s">
        <v>31</v>
      </c>
      <c r="B20" s="2" t="s">
        <v>32</v>
      </c>
    </row>
    <row r="23" spans="1:6" x14ac:dyDescent="0.25">
      <c r="A23" s="6" t="s">
        <v>33</v>
      </c>
      <c r="B23" s="6"/>
      <c r="C23" s="6"/>
      <c r="D23" s="6"/>
      <c r="E23" s="6"/>
      <c r="F23" s="6"/>
    </row>
    <row r="24" spans="1:6" ht="30" x14ac:dyDescent="0.25">
      <c r="A24" s="9" t="s">
        <v>34</v>
      </c>
      <c r="B24" s="9" t="s">
        <v>35</v>
      </c>
      <c r="C24" s="9" t="s">
        <v>36</v>
      </c>
      <c r="D24" s="9" t="s">
        <v>37</v>
      </c>
    </row>
    <row r="25" spans="1:6" x14ac:dyDescent="0.25">
      <c r="A25" s="8" t="s">
        <v>38</v>
      </c>
      <c r="B25" s="8" t="s">
        <v>39</v>
      </c>
      <c r="C25" s="11">
        <v>46174</v>
      </c>
      <c r="D25" s="8">
        <v>450</v>
      </c>
    </row>
    <row r="26" spans="1:6" x14ac:dyDescent="0.25">
      <c r="A26" s="8" t="s">
        <v>40</v>
      </c>
      <c r="B26" s="8" t="s">
        <v>39</v>
      </c>
      <c r="C26" s="11">
        <v>46183</v>
      </c>
      <c r="D26" s="8">
        <v>620</v>
      </c>
    </row>
    <row r="27" spans="1:6" x14ac:dyDescent="0.25">
      <c r="A27" s="8" t="s">
        <v>41</v>
      </c>
      <c r="B27" s="8" t="s">
        <v>42</v>
      </c>
      <c r="C27" s="11">
        <v>46176</v>
      </c>
      <c r="D27" s="8">
        <v>380</v>
      </c>
    </row>
    <row r="28" spans="1:6" x14ac:dyDescent="0.25">
      <c r="A28" s="8" t="s">
        <v>43</v>
      </c>
      <c r="B28" s="8" t="s">
        <v>39</v>
      </c>
      <c r="C28" s="11">
        <v>46193</v>
      </c>
      <c r="D28" s="8">
        <v>710</v>
      </c>
    </row>
    <row r="29" spans="1:6" x14ac:dyDescent="0.25">
      <c r="A29" s="8" t="s">
        <v>44</v>
      </c>
      <c r="B29" s="8" t="s">
        <v>42</v>
      </c>
      <c r="C29" s="11">
        <v>46188</v>
      </c>
      <c r="D29" s="8">
        <v>290</v>
      </c>
    </row>
    <row r="32" spans="1:6" x14ac:dyDescent="0.25">
      <c r="A32" s="10" t="s">
        <v>45</v>
      </c>
      <c r="B32" s="1" t="s">
        <v>39</v>
      </c>
    </row>
    <row r="33" spans="1:6" x14ac:dyDescent="0.25">
      <c r="A33" s="10" t="s">
        <v>46</v>
      </c>
      <c r="B33" s="1">
        <f>LOOKUP(2,1/(B25:B30=B32),D25:D30)</f>
        <v>710</v>
      </c>
    </row>
    <row r="34" spans="1:6" x14ac:dyDescent="0.25">
      <c r="A34" s="2" t="s">
        <v>47</v>
      </c>
      <c r="B34" s="2" t="s">
        <v>48</v>
      </c>
    </row>
    <row r="37" spans="1:6" x14ac:dyDescent="0.25">
      <c r="A37" s="6" t="s">
        <v>49</v>
      </c>
      <c r="B37" s="6"/>
      <c r="C37" s="6"/>
      <c r="D37" s="6"/>
      <c r="E37" s="6"/>
      <c r="F37" s="6"/>
    </row>
    <row r="38" spans="1:6" x14ac:dyDescent="0.25">
      <c r="A38" s="7"/>
      <c r="B38" s="7"/>
      <c r="C38" s="7"/>
      <c r="D38" s="7"/>
      <c r="E38" s="7"/>
      <c r="F38" s="7"/>
    </row>
    <row r="39" spans="1:6" ht="30" x14ac:dyDescent="0.25">
      <c r="A39" s="9" t="s">
        <v>50</v>
      </c>
      <c r="B39" s="9" t="s">
        <v>51</v>
      </c>
      <c r="C39" s="9" t="s">
        <v>52</v>
      </c>
      <c r="D39" s="9" t="s">
        <v>53</v>
      </c>
    </row>
    <row r="40" spans="1:6" x14ac:dyDescent="0.25">
      <c r="A40" s="8" t="s">
        <v>54</v>
      </c>
      <c r="B40" s="8" t="s">
        <v>55</v>
      </c>
      <c r="C40" s="8" t="s">
        <v>56</v>
      </c>
      <c r="D40" s="8">
        <v>42</v>
      </c>
    </row>
    <row r="41" spans="1:6" x14ac:dyDescent="0.25">
      <c r="A41" s="8" t="s">
        <v>57</v>
      </c>
      <c r="B41" s="8" t="s">
        <v>58</v>
      </c>
      <c r="C41" s="8" t="s">
        <v>59</v>
      </c>
      <c r="D41" s="8">
        <v>30</v>
      </c>
    </row>
    <row r="42" spans="1:6" x14ac:dyDescent="0.25">
      <c r="A42" s="8" t="s">
        <v>60</v>
      </c>
      <c r="B42" s="8" t="s">
        <v>61</v>
      </c>
      <c r="C42" s="8" t="s">
        <v>62</v>
      </c>
      <c r="D42" s="8">
        <v>55</v>
      </c>
    </row>
    <row r="45" spans="1:6" x14ac:dyDescent="0.25">
      <c r="A45" s="10" t="s">
        <v>63</v>
      </c>
      <c r="B45" s="1" t="s">
        <v>64</v>
      </c>
    </row>
    <row r="46" spans="1:6" x14ac:dyDescent="0.25">
      <c r="A46" s="10" t="s">
        <v>65</v>
      </c>
      <c r="B46" s="1" t="str">
        <f>IFERROR(INDEX(A40:A43,MATCH(B45,B40:B43,0)),"No playlist available")</f>
        <v>No playlist available</v>
      </c>
    </row>
    <row r="47" spans="1:6" x14ac:dyDescent="0.25">
      <c r="A47" s="2" t="s">
        <v>66</v>
      </c>
      <c r="B47" s="2" t="s">
        <v>67</v>
      </c>
    </row>
    <row r="50" spans="1:6" x14ac:dyDescent="0.25">
      <c r="A50" s="6" t="s">
        <v>68</v>
      </c>
      <c r="B50" s="6"/>
      <c r="C50" s="6"/>
      <c r="D50" s="6"/>
      <c r="E50" s="6"/>
      <c r="F50" s="6"/>
    </row>
    <row r="51" spans="1:6" x14ac:dyDescent="0.25">
      <c r="A51" s="7"/>
      <c r="B51" s="7"/>
      <c r="C51" s="7"/>
      <c r="D51" s="7"/>
      <c r="E51" s="7"/>
      <c r="F51" s="7"/>
    </row>
    <row r="52" spans="1:6" ht="30" x14ac:dyDescent="0.25">
      <c r="A52" s="9" t="s">
        <v>69</v>
      </c>
      <c r="B52" s="9" t="s">
        <v>70</v>
      </c>
      <c r="C52" s="9" t="s">
        <v>71</v>
      </c>
      <c r="D52" s="9" t="s">
        <v>72</v>
      </c>
    </row>
    <row r="53" spans="1:6" x14ac:dyDescent="0.25">
      <c r="A53" s="8" t="s">
        <v>73</v>
      </c>
      <c r="B53" s="8" t="s">
        <v>74</v>
      </c>
      <c r="C53" s="8" t="s">
        <v>75</v>
      </c>
      <c r="D53" s="8" t="s">
        <v>76</v>
      </c>
    </row>
    <row r="54" spans="1:6" x14ac:dyDescent="0.25">
      <c r="A54" s="8" t="s">
        <v>77</v>
      </c>
      <c r="B54" s="8" t="s">
        <v>78</v>
      </c>
      <c r="C54" s="8" t="s">
        <v>79</v>
      </c>
      <c r="D54" s="8" t="s">
        <v>80</v>
      </c>
    </row>
    <row r="55" spans="1:6" x14ac:dyDescent="0.25">
      <c r="A55" s="8" t="s">
        <v>81</v>
      </c>
      <c r="B55" s="8" t="s">
        <v>82</v>
      </c>
      <c r="C55" s="8" t="s">
        <v>83</v>
      </c>
      <c r="D55" s="8" t="s">
        <v>76</v>
      </c>
    </row>
    <row r="58" spans="1:6" x14ac:dyDescent="0.25">
      <c r="A58" s="10" t="s">
        <v>84</v>
      </c>
      <c r="B58" s="1" t="s">
        <v>85</v>
      </c>
    </row>
    <row r="59" spans="1:6" x14ac:dyDescent="0.25">
      <c r="A59" s="10" t="s">
        <v>86</v>
      </c>
      <c r="B59" s="1" t="str">
        <f>IFERROR(INDEX(D53:D56,MATCH(B58,A53:A56,0)),"Booking Not Found")</f>
        <v>Booking Not Found</v>
      </c>
    </row>
    <row r="60" spans="1:6" x14ac:dyDescent="0.25">
      <c r="A60" s="2" t="s">
        <v>87</v>
      </c>
      <c r="B60" s="2" t="s">
        <v>88</v>
      </c>
    </row>
    <row r="63" spans="1:6" x14ac:dyDescent="0.25">
      <c r="A63" s="6" t="s">
        <v>89</v>
      </c>
      <c r="B63" s="6"/>
      <c r="C63" s="6"/>
      <c r="D63" s="6"/>
      <c r="E63" s="6"/>
      <c r="F63" s="6"/>
    </row>
    <row r="64" spans="1:6" x14ac:dyDescent="0.25">
      <c r="A64" s="7"/>
      <c r="B64" s="7"/>
      <c r="C64" s="7"/>
      <c r="D64" s="7"/>
      <c r="E64" s="7"/>
      <c r="F64" s="7"/>
    </row>
    <row r="65" spans="1:2" x14ac:dyDescent="0.25">
      <c r="A65" s="9" t="s">
        <v>34</v>
      </c>
      <c r="B65" s="9" t="s">
        <v>90</v>
      </c>
    </row>
    <row r="66" spans="1:2" x14ac:dyDescent="0.25">
      <c r="A66" s="8" t="s">
        <v>91</v>
      </c>
      <c r="B66" s="11">
        <v>46178</v>
      </c>
    </row>
    <row r="67" spans="1:2" x14ac:dyDescent="0.25">
      <c r="A67" s="8" t="s">
        <v>92</v>
      </c>
      <c r="B67" s="11">
        <v>46182</v>
      </c>
    </row>
    <row r="68" spans="1:2" x14ac:dyDescent="0.25">
      <c r="A68" s="8" t="s">
        <v>93</v>
      </c>
      <c r="B68" s="11">
        <v>46187</v>
      </c>
    </row>
    <row r="71" spans="1:2" x14ac:dyDescent="0.25">
      <c r="A71" s="2" t="s">
        <v>94</v>
      </c>
    </row>
    <row r="72" spans="1:2" x14ac:dyDescent="0.25">
      <c r="A72" s="10" t="s">
        <v>95</v>
      </c>
      <c r="B72" s="2" t="s">
        <v>96</v>
      </c>
    </row>
    <row r="73" spans="1:2" x14ac:dyDescent="0.25">
      <c r="A73" s="10" t="s">
        <v>97</v>
      </c>
      <c r="B73" s="3">
        <f>INDEX(B66:B69,MATCH("MY2",A66:A69,0))</f>
        <v>46182</v>
      </c>
    </row>
  </sheetData>
  <mergeCells count="5">
    <mergeCell ref="A63:F63"/>
    <mergeCell ref="A50:F50"/>
    <mergeCell ref="A37:F37"/>
    <mergeCell ref="A23:F23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2026-07-21T09:16:04Z</dcterms:created>
  <dcterms:modified xsi:type="dcterms:W3CDTF">2026-07-21T09:21:31Z</dcterms:modified>
</cp:coreProperties>
</file>