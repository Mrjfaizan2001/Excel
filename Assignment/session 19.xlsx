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ps\Downloads\"/>
    </mc:Choice>
  </mc:AlternateContent>
  <xr:revisionPtr revIDLastSave="0" documentId="13_ncr:1_{43CA010F-45B0-42DE-B0AD-6BEB304C7F20}" xr6:coauthVersionLast="47" xr6:coauthVersionMax="47" xr10:uidLastSave="{00000000-0000-0000-0000-000000000000}"/>
  <bookViews>
    <workbookView xWindow="-120" yWindow="-120" windowWidth="20730" windowHeight="11160" xr2:uid="{B4F28440-4FFE-413B-8D05-DC7ECECB3774}"/>
  </bookViews>
  <sheets>
    <sheet name="Sheet1" sheetId="1" r:id="rId1"/>
  </sheets>
  <externalReferences>
    <externalReference r:id="rId2"/>
  </externalReferences>
  <definedNames>
    <definedName name="_xlchart.v2.0" hidden="1">[1]S19_Dashboard_Design!$A$42:$A$45</definedName>
    <definedName name="_xlchart.v2.1" hidden="1">[1]S19_Dashboard_Design!$A$42:$A$45</definedName>
    <definedName name="_xlchart.v2.10" hidden="1">[1]S19_Dashboard_Design!$B$41</definedName>
    <definedName name="_xlchart.v2.11" hidden="1">[1]S19_Dashboard_Design!$B$42:$B$45</definedName>
    <definedName name="_xlchart.v2.2" hidden="1">[1]S19_Dashboard_Design!$B$41</definedName>
    <definedName name="_xlchart.v2.3" hidden="1">[1]S19_Dashboard_Design!$B$41</definedName>
    <definedName name="_xlchart.v2.4" hidden="1">[1]S19_Dashboard_Design!$B$42:$B$45</definedName>
    <definedName name="_xlchart.v2.5" hidden="1">[1]S19_Dashboard_Design!$B$42:$B$45</definedName>
    <definedName name="_xlchart.v2.6" hidden="1">[1]S19_Dashboard_Design!$A$42:$A$45</definedName>
    <definedName name="_xlchart.v2.7" hidden="1">[1]S19_Dashboard_Design!$A$42:$A$45</definedName>
    <definedName name="_xlchart.v2.8" hidden="1">[1]S19_Dashboard_Design!$B$42:$B$45</definedName>
    <definedName name="_xlchart.v2.9" hidden="1">[1]S19_Dashboard_Design!$B$41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7" i="1" l="1"/>
  <c r="G7" i="1"/>
  <c r="E7" i="1"/>
</calcChain>
</file>

<file path=xl/sharedStrings.xml><?xml version="1.0" encoding="utf-8"?>
<sst xmlns="http://schemas.openxmlformats.org/spreadsheetml/2006/main" count="25" uniqueCount="25">
  <si>
    <t>Session 19 - Excel Dashboard Design</t>
  </si>
  <si>
    <t>ZOMATO-STYLE FOOD DELIVERY ANALYTICS</t>
  </si>
  <si>
    <t>Header | KPIs | Trends | Insights wireframe</t>
  </si>
  <si>
    <t>MIN ORDER VALUE</t>
  </si>
  <si>
    <t>MAX ORDER VALUE</t>
  </si>
  <si>
    <t>AVG ORDER VALUE</t>
  </si>
  <si>
    <t>Order Amount</t>
  </si>
  <si>
    <t>Donut chart source: cuisine share of orders</t>
  </si>
  <si>
    <t>Cuisine</t>
  </si>
  <si>
    <t>Orders</t>
  </si>
  <si>
    <t>Indian</t>
  </si>
  <si>
    <t>Chinese</t>
  </si>
  <si>
    <t>Italian</t>
  </si>
  <si>
    <t>Mexican</t>
  </si>
  <si>
    <t>Set Excel Pie Chart 'Doughnut Hole Size' via right-click chart type, or Insert &gt; Charts &gt; Doughnut directly.</t>
  </si>
  <si>
    <t>Task 4: Waterfall - month-on-month change in total orders (Swiggy-style)</t>
  </si>
  <si>
    <t>Period</t>
  </si>
  <si>
    <t>Orders / Change</t>
  </si>
  <si>
    <t>Jan</t>
  </si>
  <si>
    <t>Feb Change</t>
  </si>
  <si>
    <t>Mar Change</t>
  </si>
  <si>
    <t>Apr Change</t>
  </si>
  <si>
    <t>May Change</t>
  </si>
  <si>
    <t>Select this range -&gt; Insert tab &gt; Waterfall/Stock/Chart icon &gt; Waterfall. Right-click the 'Jan' and any running-total bars and mark 'Set as Total' so Excel colors increases/decreases automatically.</t>
  </si>
  <si>
    <t>Design principles applied: consistent 3-color KPI palette, merged KPI cards for alignment/spacing, bold header banner, and a single accent color (blue #1F4E78) tying the whole dashboard together.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</si>
</sst>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₹#,##0"/>
  </numFmts>
  <fonts count="11" x14ac:knownFonts="1">
    <font>
      <sz val="11"/>
      <color theme="1"/>
      <name val="Aptos Narrow"/>
      <family val="2"/>
      <scheme val="minor"/>
    </font>
    <font>
      <i/>
      <sz val="9"/>
      <color rgb="FF666666"/>
      <name val="Arial"/>
      <family val="2"/>
    </font>
    <font>
      <sz val="10"/>
      <name val="Arial"/>
      <family val="2"/>
    </font>
    <font>
      <b/>
      <sz val="12"/>
      <color rgb="FFC00000"/>
      <name val="Arial"/>
      <family val="2"/>
    </font>
    <font>
      <b/>
      <sz val="10"/>
      <color theme="1"/>
      <name val="Arial"/>
      <family val="2"/>
    </font>
    <font>
      <b/>
      <sz val="9"/>
      <color rgb="FF666666"/>
      <name val="Arial"/>
      <family val="2"/>
    </font>
    <font>
      <b/>
      <sz val="9"/>
      <color theme="1" tint="4.9989318521683403E-2"/>
      <name val="Arial"/>
      <family val="2"/>
    </font>
    <font>
      <b/>
      <sz val="9"/>
      <color theme="1"/>
      <name val="Arial"/>
      <family val="2"/>
    </font>
    <font>
      <b/>
      <sz val="16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92D050"/>
        <bgColor rgb="FFD9D9D9"/>
      </patternFill>
    </fill>
    <fill>
      <patternFill patternType="solid">
        <fgColor rgb="FFFFC000"/>
        <bgColor rgb="FFE2EFDA"/>
      </patternFill>
    </fill>
    <fill>
      <patternFill patternType="solid">
        <fgColor theme="5" tint="0.39997558519241921"/>
        <bgColor rgb="FFD9E1F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vertical="top" wrapText="1"/>
    </xf>
    <xf numFmtId="0" fontId="3" fillId="0" borderId="0" xfId="0" applyFont="1"/>
    <xf numFmtId="0" fontId="4" fillId="0" borderId="0" xfId="0" applyFont="1"/>
    <xf numFmtId="0" fontId="6" fillId="0" borderId="0" xfId="0" applyFont="1"/>
    <xf numFmtId="0" fontId="7" fillId="2" borderId="0" xfId="0" applyFont="1" applyFill="1"/>
    <xf numFmtId="164" fontId="8" fillId="2" borderId="0" xfId="0" applyNumberFormat="1" applyFont="1" applyFill="1"/>
    <xf numFmtId="0" fontId="7" fillId="3" borderId="0" xfId="0" applyFont="1" applyFill="1"/>
    <xf numFmtId="164" fontId="8" fillId="3" borderId="0" xfId="0" applyNumberFormat="1" applyFont="1" applyFill="1"/>
    <xf numFmtId="0" fontId="7" fillId="4" borderId="0" xfId="0" applyFont="1" applyFill="1"/>
    <xf numFmtId="164" fontId="8" fillId="4" borderId="0" xfId="0" applyNumberFormat="1" applyFont="1" applyFill="1"/>
    <xf numFmtId="0" fontId="2" fillId="0" borderId="1" xfId="0" applyFont="1" applyBorder="1"/>
    <xf numFmtId="0" fontId="9" fillId="0" borderId="1" xfId="0" applyFont="1" applyFill="1" applyBorder="1" applyAlignment="1">
      <alignment horizontal="center" vertical="center" wrapText="1"/>
    </xf>
    <xf numFmtId="0" fontId="9" fillId="0" borderId="0" xfId="0" applyFont="1"/>
    <xf numFmtId="0" fontId="5" fillId="0" borderId="0" xfId="0" applyFont="1" applyAlignment="1">
      <alignment vertical="top" wrapText="1"/>
    </xf>
    <xf numFmtId="0" fontId="7" fillId="0" borderId="0" xfId="0" applyFont="1" applyAlignment="1">
      <alignment vertical="top" wrapText="1"/>
    </xf>
    <xf numFmtId="0" fontId="2" fillId="0" borderId="0" xfId="0" applyFont="1" applyBorder="1"/>
    <xf numFmtId="0" fontId="9" fillId="0" borderId="0" xfId="0" applyFont="1" applyFill="1"/>
    <xf numFmtId="0" fontId="9" fillId="0" borderId="0" xfId="0" applyFont="1" applyFill="1"/>
    <xf numFmtId="0" fontId="10" fillId="0" borderId="1" xfId="0" applyFont="1" applyFill="1" applyBorder="1"/>
    <xf numFmtId="0" fontId="10" fillId="0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_xlchart.v2.7</cx:f>
      </cx:strDim>
      <cx:numDim type="val">
        <cx:f>_xlchart.v2.11</cx:f>
      </cx:numDim>
    </cx:data>
  </cx:chartData>
  <cx:chart>
    <cx:title pos="t" align="ctr" overlay="0">
      <cx:tx>
        <cx:txData>
          <cx:v>Order Share (Cuisine)</cx:v>
        </cx:txData>
      </cx:tx>
      <cx:txPr>
        <a:bodyPr rot="0" spcFirstLastPara="1" vertOverflow="ellipsis" wrap="square" lIns="38100" tIns="19050" rIns="38100" bIns="19050" anchor="ctr" anchorCtr="1" compatLnSpc="0"/>
        <a:lstStyle/>
        <a:p>
          <a:pPr algn="ctr" rtl="0">
            <a:defRPr sz="1800" b="1" i="0" u="none" strike="noStrike" kern="1200" spc="-1" baseline="0">
              <a:solidFill>
                <a:srgbClr val="000000"/>
              </a:solidFill>
              <a:latin typeface="Calibri"/>
              <a:ea typeface="+mn-ea"/>
              <a:cs typeface="+mn-cs"/>
            </a:defRPr>
          </a:pPr>
          <a:r>
            <a:rPr kumimoji="0" lang="en-IN" sz="1800" b="1" i="0" u="none" strike="noStrike" kern="1200" cap="none" spc="-1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alibri"/>
            </a:rPr>
            <a:t>Order Share (Cuisine)</a:t>
          </a:r>
        </a:p>
      </cx:txPr>
    </cx:title>
    <cx:plotArea>
      <cx:plotAreaRegion>
        <cx:series layoutId="funnel" uniqueId="{D5FD150E-09D0-41E7-8F05-87BEF5D50FC0}">
          <cx:tx>
            <cx:txData>
              <cx:f>_xlchart.v2.9</cx:f>
              <cx:v>Orders</cx:v>
            </cx:txData>
          </cx:tx>
          <cx:dataLabels>
            <cx:visibility seriesName="0" categoryName="0" value="1"/>
          </cx:dataLabels>
          <cx:dataId val="0"/>
        </cx:series>
      </cx:plotAreaRegion>
      <cx:axis id="1">
        <cx:catScaling gapWidth="0.0599999987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acrossLinear" id="2">
  <a:schemeClr val="accent1"/>
  <a:schemeClr val="accent2"/>
  <a:schemeClr val="accent3"/>
  <a:schemeClr val="accent4"/>
  <a:schemeClr val="accent5"/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1057275</xdr:colOff>
      <xdr:row>39</xdr:row>
      <xdr:rowOff>141510</xdr:rowOff>
    </xdr:from>
    <xdr:to>
      <xdr:col>9</xdr:col>
      <xdr:colOff>416595</xdr:colOff>
      <xdr:row>55</xdr:row>
      <xdr:rowOff>175140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B353300E-1BE2-4274-88C6-589D254B47EA}"/>
                </a:ext>
              </a:extLst>
            </xdr:cNvPr>
            <xdr:cNvGraphicFramePr>
              <a:graphicFrameLocks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324475" y="7742460"/>
              <a:ext cx="3207420" cy="343405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ops\Downloads\Excle%20Assignments.xlsx" TargetMode="External"/><Relationship Id="rId1" Type="http://schemas.openxmlformats.org/officeDocument/2006/relationships/externalLinkPath" Target="Excle%20Assignmen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1_Interface_DataTypes"/>
      <sheetName val="S2_NamedRanges_Validation"/>
      <sheetName val="S3_Sort_Filter"/>
      <sheetName val="S4_AdvFilter_Views"/>
      <sheetName val="S5_Text_Functions_1"/>
      <sheetName val="S6_Text_Cleaning"/>
      <sheetName val="S7_Date_Time"/>
      <sheetName val="S8_Logical"/>
      <sheetName val="S9_VLOOKUP_HLOOKUP"/>
      <sheetName val="S10_XLOOKUP"/>
      <sheetName val="S11_INDEX_MATCH"/>
      <sheetName val="S12_Conditional_Formatting"/>
      <sheetName val="S13_PivotTables_Basics"/>
      <sheetName val="S14_PivotTables_Advanced"/>
      <sheetName val="S15-16_PivotCharts_Dashboards"/>
      <sheetName val="S17_PowerQuery_Basics"/>
      <sheetName val="S18_PowerQuery_Merge_Append"/>
      <sheetName val="S19_Dashboard_Design"/>
      <sheetName val="S20_Superstore_CaseStudy"/>
      <sheetName val="S21_Integration_MiniDashboard"/>
      <sheetName val="S22_Macros_Recording"/>
      <sheetName val="S23_VBA_Basics"/>
      <sheetName val="S24_VBA_Automation_Projec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41">
          <cell r="B41" t="str">
            <v>Orders</v>
          </cell>
        </row>
        <row r="42">
          <cell r="A42" t="str">
            <v>Indian</v>
          </cell>
          <cell r="B42">
            <v>42</v>
          </cell>
        </row>
        <row r="43">
          <cell r="A43" t="str">
            <v>Chinese</v>
          </cell>
          <cell r="B43">
            <v>25</v>
          </cell>
        </row>
        <row r="44">
          <cell r="A44" t="str">
            <v>Italian</v>
          </cell>
          <cell r="B44">
            <v>20</v>
          </cell>
        </row>
        <row r="45">
          <cell r="A45" t="str">
            <v>Mexican</v>
          </cell>
          <cell r="B45">
            <v>13</v>
          </cell>
        </row>
      </sheetData>
      <sheetData sheetId="18"/>
      <sheetData sheetId="19"/>
      <sheetData sheetId="20"/>
      <sheetData sheetId="21"/>
      <sheetData sheetId="2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F932A-65BE-44E6-BBCF-4AD5CD2A590E}">
  <dimension ref="A1:H60"/>
  <sheetViews>
    <sheetView tabSelected="1" topLeftCell="A39" workbookViewId="0">
      <selection activeCell="K50" sqref="K50"/>
    </sheetView>
  </sheetViews>
  <sheetFormatPr defaultColWidth="8.5703125" defaultRowHeight="15" x14ac:dyDescent="0.25"/>
  <cols>
    <col min="1" max="6" width="16" customWidth="1"/>
  </cols>
  <sheetData>
    <row r="1" spans="1:8" ht="15.75" x14ac:dyDescent="0.25">
      <c r="A1" s="2" t="s">
        <v>0</v>
      </c>
      <c r="B1" s="2"/>
      <c r="C1" s="2"/>
      <c r="D1" s="2"/>
      <c r="E1" s="2"/>
      <c r="F1" s="2"/>
    </row>
    <row r="3" spans="1:8" x14ac:dyDescent="0.25">
      <c r="A3" s="3" t="s">
        <v>1</v>
      </c>
      <c r="B3" s="3"/>
      <c r="C3" s="3"/>
      <c r="D3" s="3"/>
    </row>
    <row r="4" spans="1:8" x14ac:dyDescent="0.25">
      <c r="A4" s="4" t="s">
        <v>2</v>
      </c>
    </row>
    <row r="6" spans="1:8" x14ac:dyDescent="0.25">
      <c r="C6" s="5" t="s">
        <v>3</v>
      </c>
      <c r="D6" s="5"/>
      <c r="E6" s="7" t="s">
        <v>4</v>
      </c>
      <c r="F6" s="7"/>
      <c r="G6" s="9" t="s">
        <v>5</v>
      </c>
      <c r="H6" s="9"/>
    </row>
    <row r="7" spans="1:8" ht="27.75" customHeight="1" x14ac:dyDescent="0.3">
      <c r="A7" s="12" t="s">
        <v>6</v>
      </c>
      <c r="C7" s="6">
        <f>MIN(A8:A37)</f>
        <v>110</v>
      </c>
      <c r="D7" s="6"/>
      <c r="E7" s="8">
        <f>MAX(A8:A37)</f>
        <v>8555</v>
      </c>
      <c r="F7" s="8"/>
      <c r="G7" s="10">
        <f>AVERAGE(A8:A37)</f>
        <v>1605.5</v>
      </c>
      <c r="H7" s="10"/>
    </row>
    <row r="8" spans="1:8" x14ac:dyDescent="0.25">
      <c r="A8" s="11">
        <v>1200</v>
      </c>
    </row>
    <row r="9" spans="1:8" x14ac:dyDescent="0.25">
      <c r="A9" s="11">
        <v>5822</v>
      </c>
    </row>
    <row r="10" spans="1:8" x14ac:dyDescent="0.25">
      <c r="A10" s="11">
        <v>265</v>
      </c>
    </row>
    <row r="11" spans="1:8" x14ac:dyDescent="0.25">
      <c r="A11" s="11">
        <v>257</v>
      </c>
    </row>
    <row r="12" spans="1:8" x14ac:dyDescent="0.25">
      <c r="A12" s="11">
        <v>5420</v>
      </c>
    </row>
    <row r="13" spans="1:8" x14ac:dyDescent="0.25">
      <c r="A13" s="11">
        <v>568</v>
      </c>
    </row>
    <row r="14" spans="1:8" x14ac:dyDescent="0.25">
      <c r="A14" s="11">
        <v>792</v>
      </c>
    </row>
    <row r="15" spans="1:8" x14ac:dyDescent="0.25">
      <c r="A15" s="11">
        <v>475</v>
      </c>
    </row>
    <row r="16" spans="1:8" x14ac:dyDescent="0.25">
      <c r="A16" s="11">
        <v>8555</v>
      </c>
    </row>
    <row r="17" spans="1:1" x14ac:dyDescent="0.25">
      <c r="A17" s="11">
        <v>265</v>
      </c>
    </row>
    <row r="18" spans="1:1" x14ac:dyDescent="0.25">
      <c r="A18" s="11">
        <v>451</v>
      </c>
    </row>
    <row r="19" spans="1:1" x14ac:dyDescent="0.25">
      <c r="A19" s="11">
        <v>582</v>
      </c>
    </row>
    <row r="20" spans="1:1" x14ac:dyDescent="0.25">
      <c r="A20" s="11">
        <v>567</v>
      </c>
    </row>
    <row r="21" spans="1:1" x14ac:dyDescent="0.25">
      <c r="A21" s="11">
        <v>1171</v>
      </c>
    </row>
    <row r="22" spans="1:1" x14ac:dyDescent="0.25">
      <c r="A22" s="11">
        <v>203</v>
      </c>
    </row>
    <row r="23" spans="1:1" x14ac:dyDescent="0.25">
      <c r="A23" s="11">
        <v>1037</v>
      </c>
    </row>
    <row r="24" spans="1:1" x14ac:dyDescent="0.25">
      <c r="A24" s="11">
        <v>4514</v>
      </c>
    </row>
    <row r="25" spans="1:1" x14ac:dyDescent="0.25">
      <c r="A25" s="11">
        <v>5852</v>
      </c>
    </row>
    <row r="26" spans="1:1" x14ac:dyDescent="0.25">
      <c r="A26" s="11">
        <v>784</v>
      </c>
    </row>
    <row r="27" spans="1:1" x14ac:dyDescent="0.25">
      <c r="A27" s="11">
        <v>1745</v>
      </c>
    </row>
    <row r="28" spans="1:1" x14ac:dyDescent="0.25">
      <c r="A28" s="11">
        <v>865</v>
      </c>
    </row>
    <row r="29" spans="1:1" x14ac:dyDescent="0.25">
      <c r="A29" s="11">
        <v>542</v>
      </c>
    </row>
    <row r="30" spans="1:1" x14ac:dyDescent="0.25">
      <c r="A30" s="11">
        <v>555</v>
      </c>
    </row>
    <row r="31" spans="1:1" x14ac:dyDescent="0.25">
      <c r="A31" s="11">
        <v>1999</v>
      </c>
    </row>
    <row r="32" spans="1:1" x14ac:dyDescent="0.25">
      <c r="A32" s="11">
        <v>668</v>
      </c>
    </row>
    <row r="33" spans="1:6" x14ac:dyDescent="0.25">
      <c r="A33" s="11">
        <v>691</v>
      </c>
    </row>
    <row r="34" spans="1:6" x14ac:dyDescent="0.25">
      <c r="A34" s="11">
        <v>110</v>
      </c>
    </row>
    <row r="35" spans="1:6" x14ac:dyDescent="0.25">
      <c r="A35" s="11">
        <v>171</v>
      </c>
    </row>
    <row r="36" spans="1:6" x14ac:dyDescent="0.25">
      <c r="A36" s="11">
        <v>1007</v>
      </c>
    </row>
    <row r="37" spans="1:6" x14ac:dyDescent="0.25">
      <c r="A37" s="11">
        <v>1032</v>
      </c>
    </row>
    <row r="40" spans="1:6" x14ac:dyDescent="0.25">
      <c r="A40" s="13" t="s">
        <v>7</v>
      </c>
      <c r="B40" s="13"/>
      <c r="C40" s="13"/>
      <c r="D40" s="13"/>
      <c r="E40" s="13"/>
      <c r="F40" s="13"/>
    </row>
    <row r="41" spans="1:6" x14ac:dyDescent="0.25">
      <c r="A41" s="12" t="s">
        <v>8</v>
      </c>
      <c r="B41" s="12" t="s">
        <v>9</v>
      </c>
    </row>
    <row r="42" spans="1:6" x14ac:dyDescent="0.25">
      <c r="A42" s="11" t="s">
        <v>10</v>
      </c>
      <c r="B42" s="11">
        <v>42</v>
      </c>
    </row>
    <row r="43" spans="1:6" x14ac:dyDescent="0.25">
      <c r="A43" s="11" t="s">
        <v>11</v>
      </c>
      <c r="B43" s="11">
        <v>25</v>
      </c>
    </row>
    <row r="44" spans="1:6" x14ac:dyDescent="0.25">
      <c r="A44" s="11" t="s">
        <v>12</v>
      </c>
      <c r="B44" s="11">
        <v>20</v>
      </c>
    </row>
    <row r="45" spans="1:6" x14ac:dyDescent="0.25">
      <c r="A45" s="11" t="s">
        <v>13</v>
      </c>
      <c r="B45" s="11">
        <v>13</v>
      </c>
    </row>
    <row r="46" spans="1:6" x14ac:dyDescent="0.25">
      <c r="A46" s="16"/>
      <c r="B46" s="16"/>
    </row>
    <row r="47" spans="1:6" ht="27.75" customHeight="1" x14ac:dyDescent="0.25">
      <c r="A47" s="15" t="s">
        <v>14</v>
      </c>
      <c r="B47" s="15"/>
      <c r="C47" s="15"/>
      <c r="D47" s="15"/>
    </row>
    <row r="49" spans="1:6" x14ac:dyDescent="0.25">
      <c r="A49" s="17" t="s">
        <v>15</v>
      </c>
      <c r="B49" s="17"/>
      <c r="C49" s="17"/>
      <c r="D49" s="17"/>
      <c r="E49" s="17"/>
      <c r="F49" s="17"/>
    </row>
    <row r="50" spans="1:6" x14ac:dyDescent="0.25">
      <c r="A50" s="18"/>
      <c r="B50" s="18"/>
      <c r="C50" s="18"/>
      <c r="D50" s="18"/>
      <c r="E50" s="18"/>
      <c r="F50" s="18"/>
    </row>
    <row r="51" spans="1:6" ht="30" x14ac:dyDescent="0.25">
      <c r="A51" s="12" t="s">
        <v>16</v>
      </c>
      <c r="B51" s="12" t="s">
        <v>17</v>
      </c>
    </row>
    <row r="52" spans="1:6" x14ac:dyDescent="0.25">
      <c r="A52" s="19" t="s">
        <v>18</v>
      </c>
      <c r="B52" s="19">
        <v>1200</v>
      </c>
    </row>
    <row r="53" spans="1:6" x14ac:dyDescent="0.25">
      <c r="A53" s="19" t="s">
        <v>19</v>
      </c>
      <c r="B53" s="19">
        <v>150</v>
      </c>
    </row>
    <row r="54" spans="1:6" x14ac:dyDescent="0.25">
      <c r="A54" s="19" t="s">
        <v>20</v>
      </c>
      <c r="B54" s="19">
        <v>-80</v>
      </c>
    </row>
    <row r="55" spans="1:6" x14ac:dyDescent="0.25">
      <c r="A55" s="19" t="s">
        <v>21</v>
      </c>
      <c r="B55" s="19">
        <v>220</v>
      </c>
    </row>
    <row r="56" spans="1:6" x14ac:dyDescent="0.25">
      <c r="A56" s="19" t="s">
        <v>22</v>
      </c>
      <c r="B56" s="19">
        <v>-40</v>
      </c>
    </row>
    <row r="57" spans="1:6" x14ac:dyDescent="0.25">
      <c r="A57" s="20"/>
      <c r="B57" s="20"/>
    </row>
    <row r="58" spans="1:6" ht="27.75" customHeight="1" x14ac:dyDescent="0.25">
      <c r="A58" s="14" t="s">
        <v>23</v>
      </c>
      <c r="B58" s="14"/>
      <c r="C58" s="14"/>
      <c r="D58" s="14"/>
    </row>
    <row r="60" spans="1:6" ht="27.75" customHeight="1" x14ac:dyDescent="0.25">
      <c r="A60" s="1" t="s">
        <v>24</v>
      </c>
      <c r="B60" s="1"/>
      <c r="C60" s="1"/>
      <c r="D60" s="1"/>
      <c r="E60" s="1"/>
      <c r="F60" s="1"/>
    </row>
  </sheetData>
  <mergeCells count="13">
    <mergeCell ref="A40:F40"/>
    <mergeCell ref="A47:D47"/>
    <mergeCell ref="A49:F49"/>
    <mergeCell ref="A58:D58"/>
    <mergeCell ref="A60:F60"/>
    <mergeCell ref="A1:F1"/>
    <mergeCell ref="A3:D3"/>
    <mergeCell ref="C6:D6"/>
    <mergeCell ref="E6:F6"/>
    <mergeCell ref="G6:H6"/>
    <mergeCell ref="C7:D7"/>
    <mergeCell ref="E7:F7"/>
    <mergeCell ref="G7:H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Sonal 7</dc:creator>
  <cp:lastModifiedBy>Sonal 7</cp:lastModifiedBy>
  <dcterms:created xsi:type="dcterms:W3CDTF">2026-07-21T10:10:00Z</dcterms:created>
  <dcterms:modified xsi:type="dcterms:W3CDTF">2026-07-21T10:20:28Z</dcterms:modified>
</cp:coreProperties>
</file>