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04E43DBA-331D-462C-9B20-98EEA910C93B}" xr6:coauthVersionLast="47" xr6:coauthVersionMax="47" xr10:uidLastSave="{00000000-0000-0000-0000-000000000000}"/>
  <bookViews>
    <workbookView xWindow="-120" yWindow="-120" windowWidth="20730" windowHeight="11160" xr2:uid="{66A96C90-A4A6-4F71-9D54-4E35E2F7BA9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8" i="1" l="1"/>
  <c r="B97" i="1"/>
  <c r="B96" i="1"/>
  <c r="B95" i="1"/>
  <c r="B94" i="1"/>
  <c r="B93" i="1"/>
  <c r="B92" i="1"/>
  <c r="B91" i="1"/>
  <c r="B90" i="1"/>
  <c r="B72" i="1"/>
  <c r="B71" i="1"/>
  <c r="B70" i="1"/>
  <c r="C67" i="1"/>
  <c r="A67" i="1"/>
  <c r="C58" i="1"/>
  <c r="B58" i="1"/>
  <c r="C57" i="1"/>
  <c r="B57" i="1"/>
  <c r="C56" i="1"/>
  <c r="B56" i="1"/>
  <c r="C55" i="1"/>
  <c r="B60" i="1" s="1"/>
  <c r="B55" i="1"/>
</calcChain>
</file>

<file path=xl/sharedStrings.xml><?xml version="1.0" encoding="utf-8"?>
<sst xmlns="http://schemas.openxmlformats.org/spreadsheetml/2006/main" count="491" uniqueCount="134">
  <si>
    <t>Session 20 - Case Study: Retail Store Sales Dashboard &amp; Analysis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</si>
  <si>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</si>
  <si>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</si>
  <si>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</si>
  <si>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</si>
  <si>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</si>
  <si>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</si>
  <si>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</si>
  <si>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</si>
  <si>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</si>
  <si>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</si>
  <si>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</si>
  <si>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</si>
  <si>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</si>
  <si>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</si>
  <si>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</si>
  <si>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</si>
  <si>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</si>
  <si>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CA-2025000</t>
  </si>
  <si>
    <t>First Class</t>
  </si>
  <si>
    <t>CU-1000</t>
  </si>
  <si>
    <t>Consumer</t>
  </si>
  <si>
    <t>India</t>
  </si>
  <si>
    <t>Surat</t>
  </si>
  <si>
    <t>Gujarat</t>
  </si>
  <si>
    <t>East</t>
  </si>
  <si>
    <t>PRD-0</t>
  </si>
  <si>
    <t>Furniture</t>
  </si>
  <si>
    <t>Tables</t>
  </si>
  <si>
    <t>CA-2025001</t>
  </si>
  <si>
    <t>CU-1001</t>
  </si>
  <si>
    <t>Corporate</t>
  </si>
  <si>
    <t>Pune</t>
  </si>
  <si>
    <t>Central</t>
  </si>
  <si>
    <t>PRD-1</t>
  </si>
  <si>
    <t>Technology</t>
  </si>
  <si>
    <t>Accessories</t>
  </si>
  <si>
    <t>CA-2025002</t>
  </si>
  <si>
    <t>Standard Class</t>
  </si>
  <si>
    <t>CU-1002</t>
  </si>
  <si>
    <t>Maharashtra</t>
  </si>
  <si>
    <t>South</t>
  </si>
  <si>
    <t>PRD-2</t>
  </si>
  <si>
    <t>Phones</t>
  </si>
  <si>
    <t>CA-2025003</t>
  </si>
  <si>
    <t>CU-1003</t>
  </si>
  <si>
    <t>Ahmedabad</t>
  </si>
  <si>
    <t>PRD-3</t>
  </si>
  <si>
    <t>Chairs</t>
  </si>
  <si>
    <t>CA-2025004</t>
  </si>
  <si>
    <t>CU-1004</t>
  </si>
  <si>
    <t>Mumbai</t>
  </si>
  <si>
    <t>PRD-4</t>
  </si>
  <si>
    <t>CA-2025005</t>
  </si>
  <si>
    <t>Second Class</t>
  </si>
  <si>
    <t>CU-1005</t>
  </si>
  <si>
    <t>PRD-5</t>
  </si>
  <si>
    <t>CA-2025006</t>
  </si>
  <si>
    <t>CU-1006</t>
  </si>
  <si>
    <t>PRD-6</t>
  </si>
  <si>
    <t>CA-2025007</t>
  </si>
  <si>
    <t>CU-1007</t>
  </si>
  <si>
    <t>Home Office</t>
  </si>
  <si>
    <t>PRD-7</t>
  </si>
  <si>
    <t>Bookcases</t>
  </si>
  <si>
    <t>CA-2025008</t>
  </si>
  <si>
    <t>CU-1008</t>
  </si>
  <si>
    <t>PRD-8</t>
  </si>
  <si>
    <t>CA-2025009</t>
  </si>
  <si>
    <t>CU-1009</t>
  </si>
  <si>
    <t>PRD-9</t>
  </si>
  <si>
    <t>Office Supplies</t>
  </si>
  <si>
    <t>Storage</t>
  </si>
  <si>
    <t>CA-2025010</t>
  </si>
  <si>
    <t>CU-1010</t>
  </si>
  <si>
    <t>PRD-10</t>
  </si>
  <si>
    <t>Binders</t>
  </si>
  <si>
    <t>CA-2025011</t>
  </si>
  <si>
    <t>CU-1011</t>
  </si>
  <si>
    <t>PRD-11</t>
  </si>
  <si>
    <t>CA-2025012</t>
  </si>
  <si>
    <t>CU-1012</t>
  </si>
  <si>
    <t>PRD-12</t>
  </si>
  <si>
    <t>CA-2025013</t>
  </si>
  <si>
    <t>CU-1013</t>
  </si>
  <si>
    <t>PRD-13</t>
  </si>
  <si>
    <t>CA-2025014</t>
  </si>
  <si>
    <t>CU-1014</t>
  </si>
  <si>
    <t>PRD-14</t>
  </si>
  <si>
    <t>CA-2025015</t>
  </si>
  <si>
    <t>West</t>
  </si>
  <si>
    <t>PRD-15</t>
  </si>
  <si>
    <t>CA-2025016</t>
  </si>
  <si>
    <t>PRD-16</t>
  </si>
  <si>
    <t>CA-2025017</t>
  </si>
  <si>
    <t>PRD-17</t>
  </si>
  <si>
    <t>Machines</t>
  </si>
  <si>
    <t>CA-2025018</t>
  </si>
  <si>
    <t>PRD-18</t>
  </si>
  <si>
    <t>CA-2025019</t>
  </si>
  <si>
    <t>PRD-19</t>
  </si>
  <si>
    <t>CA-2025020</t>
  </si>
  <si>
    <t>CA-2025021</t>
  </si>
  <si>
    <t>Paper</t>
  </si>
  <si>
    <t>CA-2025022</t>
  </si>
  <si>
    <t>CA-2025023</t>
  </si>
  <si>
    <t>CA-2025024</t>
  </si>
  <si>
    <t>CA-2025025</t>
  </si>
  <si>
    <t>CA-2025026</t>
  </si>
  <si>
    <t>CA-2025027</t>
  </si>
  <si>
    <t>CA-2025028</t>
  </si>
  <si>
    <t>CA-2025029</t>
  </si>
  <si>
    <t>CA-2025030</t>
  </si>
  <si>
    <t>CA-2025031</t>
  </si>
  <si>
    <t>CA-2025032</t>
  </si>
  <si>
    <t>CA-2025033</t>
  </si>
  <si>
    <t>CA-2025034</t>
  </si>
  <si>
    <t>CA-2025035</t>
  </si>
  <si>
    <t>CA-2025036</t>
  </si>
  <si>
    <t>CA-2025037</t>
  </si>
  <si>
    <t>CA-2025038</t>
  </si>
  <si>
    <t>CA-2025039</t>
  </si>
  <si>
    <t>Task 1: unique Order IDs (Remove Duplicates would collapse repeats - this sample has none, shown for method)</t>
  </si>
  <si>
    <t>Data &gt; Remove Duplicates &gt; tick only 'Order ID' -&gt; Excel keeps the first occurrence of each Order ID.</t>
  </si>
  <si>
    <t>Task 2: Total Sales &amp; Profit by Region (Pivot-equivalent)</t>
  </si>
  <si>
    <t>Total Sales</t>
  </si>
  <si>
    <t>Total Profit</t>
  </si>
  <si>
    <t>Highest-profit region:</t>
  </si>
  <si>
    <t>Task 3: Conditional Formatting - Discount&gt;20% AND Profit&lt;0</t>
  </si>
  <si>
    <t>Task 4: Mini dashboard - total Sales, total Profit, Sales by Category chart</t>
  </si>
  <si>
    <t>TOTAL SALES</t>
  </si>
  <si>
    <t>TOTAL PROFIT</t>
  </si>
  <si>
    <t>Task 5: Top 5 most profitable Sub-Categories</t>
  </si>
  <si>
    <t>Representative Superstore-data sample (same column structure as Kaggle's SampleSuperstore.csv). Substitute your own downloaded CSV rows here if required by your trainer; every formula below references these columns by name/position so it will keep working.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</si>
</sst>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\₹#,##0"/>
  </numFmts>
  <fonts count="11" x14ac:knownFonts="1">
    <font>
      <sz val="11"/>
      <color theme="1"/>
      <name val="Aptos Narrow"/>
      <family val="2"/>
      <scheme val="minor"/>
    </font>
    <font>
      <b/>
      <sz val="14"/>
      <color rgb="FF1F4E78"/>
      <name val="Arial"/>
      <family val="2"/>
    </font>
    <font>
      <i/>
      <sz val="9"/>
      <color rgb="FF666666"/>
      <name val="Arial"/>
      <family val="2"/>
    </font>
    <font>
      <sz val="10"/>
      <name val="Arial"/>
      <family val="2"/>
    </font>
    <font>
      <b/>
      <sz val="9"/>
      <color rgb="FF444444"/>
      <name val="Arial"/>
      <family val="2"/>
    </font>
    <font>
      <b/>
      <sz val="9"/>
      <color rgb="FF666666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444444"/>
      <name val="Arial"/>
      <family val="2"/>
    </font>
    <font>
      <b/>
      <sz val="14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D9D9D9"/>
      </patternFill>
    </fill>
    <fill>
      <patternFill patternType="solid">
        <fgColor rgb="FF92D050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/>
    <xf numFmtId="165" fontId="1" fillId="0" borderId="0" xfId="0" applyNumberFormat="1" applyFont="1"/>
    <xf numFmtId="0" fontId="1" fillId="0" borderId="0" xfId="0" applyFont="1" applyAlignme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3" fillId="0" borderId="1" xfId="0" applyFont="1" applyBorder="1"/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/>
    <xf numFmtId="164" fontId="8" fillId="0" borderId="1" xfId="0" applyNumberFormat="1" applyFont="1" applyFill="1" applyBorder="1"/>
    <xf numFmtId="0" fontId="9" fillId="0" borderId="0" xfId="0" applyFont="1"/>
    <xf numFmtId="0" fontId="9" fillId="0" borderId="0" xfId="0" applyFont="1"/>
    <xf numFmtId="0" fontId="7" fillId="0" borderId="0" xfId="0" applyFont="1"/>
    <xf numFmtId="0" fontId="4" fillId="2" borderId="0" xfId="0" applyFont="1" applyFill="1"/>
    <xf numFmtId="0" fontId="4" fillId="3" borderId="0" xfId="0" applyFont="1" applyFill="1"/>
    <xf numFmtId="0" fontId="7" fillId="0" borderId="0" xfId="0" applyFont="1"/>
    <xf numFmtId="0" fontId="10" fillId="0" borderId="0" xfId="0" applyFont="1" applyAlignmen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chemeClr val="tx1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[1]S20_Superstore_CaseStudy!$B$67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92D05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[1]S20_Superstore_CaseStudy!$A$68:$A$71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[1]S20_Superstore_CaseStudy!$B$68:$B$71</c:f>
              <c:numCache>
                <c:formatCode>General</c:formatCode>
                <c:ptCount val="4"/>
                <c:pt idx="0">
                  <c:v>26058.910000000003</c:v>
                </c:pt>
                <c:pt idx="1">
                  <c:v>10351.359999999999</c:v>
                </c:pt>
                <c:pt idx="2">
                  <c:v>18885.660000000003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5-4861-B634-46CBDCFB76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931737"/>
        <c:axId val="60950325"/>
      </c:barChart>
      <c:catAx>
        <c:axId val="859317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50325"/>
        <c:crosses val="autoZero"/>
        <c:auto val="1"/>
        <c:lblAlgn val="ctr"/>
        <c:lblOffset val="100"/>
        <c:noMultiLvlLbl val="0"/>
      </c:catAx>
      <c:valAx>
        <c:axId val="60950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9317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66</xdr:row>
      <xdr:rowOff>200880</xdr:rowOff>
    </xdr:from>
    <xdr:to>
      <xdr:col>10</xdr:col>
      <xdr:colOff>199035</xdr:colOff>
      <xdr:row>83</xdr:row>
      <xdr:rowOff>31095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C5DDF-4ABF-463D-8549-FD8354961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cle%20Assignments.xlsx" TargetMode="External"/><Relationship Id="rId1" Type="http://schemas.openxmlformats.org/officeDocument/2006/relationships/externalLinkPath" Target="Excle%20Assign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1_Interface_DataTypes"/>
      <sheetName val="S2_NamedRanges_Validation"/>
      <sheetName val="S3_Sort_Filter"/>
      <sheetName val="S4_AdvFilter_Views"/>
      <sheetName val="S5_Text_Functions_1"/>
      <sheetName val="S6_Text_Cleaning"/>
      <sheetName val="S7_Date_Time"/>
      <sheetName val="S8_Logical"/>
      <sheetName val="S9_VLOOKUP_HLOOKUP"/>
      <sheetName val="S10_XLOOKUP"/>
      <sheetName val="S11_INDEX_MATCH"/>
      <sheetName val="S12_Conditional_Formatting"/>
      <sheetName val="S13_PivotTables_Basics"/>
      <sheetName val="S14_PivotTables_Advanced"/>
      <sheetName val="S15-16_PivotCharts_Dashboards"/>
      <sheetName val="S17_PowerQuery_Basics"/>
      <sheetName val="S18_PowerQuery_Merge_Append"/>
      <sheetName val="S19_Dashboard_Design"/>
      <sheetName val="S20_Superstore_CaseStudy"/>
      <sheetName val="S21_Integration_MiniDashboard"/>
      <sheetName val="S22_Macros_Recording"/>
      <sheetName val="S23_VBA_Basics"/>
      <sheetName val="S24_VBA_Automation_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7">
          <cell r="B67" t="str">
            <v>Total Sales</v>
          </cell>
        </row>
        <row r="68">
          <cell r="A68" t="str">
            <v>Furniture</v>
          </cell>
          <cell r="B68">
            <v>26058.910000000003</v>
          </cell>
        </row>
        <row r="69">
          <cell r="A69" t="str">
            <v>Office Supplies</v>
          </cell>
          <cell r="B69">
            <v>10351.359999999999</v>
          </cell>
        </row>
        <row r="70">
          <cell r="A70" t="str">
            <v>Technology</v>
          </cell>
          <cell r="B70">
            <v>18885.660000000003</v>
          </cell>
        </row>
      </sheetData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34F8-066E-4BCF-9414-422F92B9664B}">
  <dimension ref="A1:Q100"/>
  <sheetViews>
    <sheetView tabSelected="1" zoomScale="80" zoomScaleNormal="80" workbookViewId="0">
      <selection activeCell="J1" sqref="J1"/>
    </sheetView>
  </sheetViews>
  <sheetFormatPr defaultRowHeight="15" x14ac:dyDescent="0.25"/>
  <cols>
    <col min="1" max="1" width="18.28515625" bestFit="1" customWidth="1"/>
    <col min="2" max="2" width="9.7109375" bestFit="1" customWidth="1"/>
    <col min="3" max="3" width="12.7109375" bestFit="1" customWidth="1"/>
    <col min="4" max="4" width="13.85546875" bestFit="1" customWidth="1"/>
    <col min="8" max="8" width="10.85546875" bestFit="1" customWidth="1"/>
    <col min="9" max="9" width="11.28515625" bestFit="1" customWidth="1"/>
    <col min="12" max="12" width="13.5703125" bestFit="1" customWidth="1"/>
    <col min="13" max="13" width="11.28515625" bestFit="1" customWidth="1"/>
    <col min="14" max="17" width="9.28515625" bestFit="1" customWidth="1"/>
  </cols>
  <sheetData>
    <row r="1" spans="1:17" ht="18" x14ac:dyDescent="0.25">
      <c r="A1" s="17" t="s">
        <v>0</v>
      </c>
      <c r="B1" s="4"/>
      <c r="C1" s="4"/>
      <c r="D1" s="4"/>
      <c r="E1" s="4"/>
      <c r="F1" s="4"/>
    </row>
    <row r="2" spans="1:17" ht="18" x14ac:dyDescent="0.25">
      <c r="A2" s="4"/>
      <c r="B2" s="4"/>
      <c r="C2" s="4"/>
      <c r="D2" s="4"/>
      <c r="E2" s="4"/>
      <c r="F2" s="4"/>
    </row>
    <row r="3" spans="1:17" ht="27.75" customHeight="1" x14ac:dyDescent="0.25">
      <c r="A3" s="6" t="s">
        <v>133</v>
      </c>
      <c r="B3" s="6"/>
      <c r="C3" s="6"/>
      <c r="D3" s="6"/>
      <c r="E3" s="6"/>
      <c r="F3" s="6"/>
      <c r="G3" s="6"/>
      <c r="H3" s="6"/>
      <c r="I3" s="6"/>
      <c r="J3" s="6"/>
      <c r="K3" s="6"/>
    </row>
    <row r="6" spans="1:17" ht="45" x14ac:dyDescent="0.25">
      <c r="A6" s="8" t="s">
        <v>1</v>
      </c>
      <c r="B6" s="8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</row>
    <row r="7" spans="1:17" x14ac:dyDescent="0.25">
      <c r="A7" s="9" t="s">
        <v>18</v>
      </c>
      <c r="B7" s="10">
        <v>45768</v>
      </c>
      <c r="C7" s="10">
        <v>45904</v>
      </c>
      <c r="D7" s="9" t="s">
        <v>19</v>
      </c>
      <c r="E7" s="9" t="s">
        <v>20</v>
      </c>
      <c r="F7" s="9" t="s">
        <v>21</v>
      </c>
      <c r="G7" s="9" t="s">
        <v>22</v>
      </c>
      <c r="H7" s="9" t="s">
        <v>23</v>
      </c>
      <c r="I7" s="9" t="s">
        <v>24</v>
      </c>
      <c r="J7" s="9" t="s">
        <v>25</v>
      </c>
      <c r="K7" s="9" t="s">
        <v>26</v>
      </c>
      <c r="L7" s="9" t="s">
        <v>27</v>
      </c>
      <c r="M7" s="9" t="s">
        <v>28</v>
      </c>
      <c r="N7" s="9">
        <v>1730.62</v>
      </c>
      <c r="O7" s="9">
        <v>6</v>
      </c>
      <c r="P7" s="9">
        <v>0.4</v>
      </c>
      <c r="Q7" s="9">
        <v>-202.8</v>
      </c>
    </row>
    <row r="8" spans="1:17" x14ac:dyDescent="0.25">
      <c r="A8" s="9" t="s">
        <v>29</v>
      </c>
      <c r="B8" s="10">
        <v>45679</v>
      </c>
      <c r="C8" s="10">
        <v>45884</v>
      </c>
      <c r="D8" s="9" t="s">
        <v>19</v>
      </c>
      <c r="E8" s="9" t="s">
        <v>30</v>
      </c>
      <c r="F8" s="9" t="s">
        <v>31</v>
      </c>
      <c r="G8" s="9" t="s">
        <v>22</v>
      </c>
      <c r="H8" s="9" t="s">
        <v>32</v>
      </c>
      <c r="I8" s="9" t="s">
        <v>24</v>
      </c>
      <c r="J8" s="9" t="s">
        <v>33</v>
      </c>
      <c r="K8" s="9" t="s">
        <v>34</v>
      </c>
      <c r="L8" s="9" t="s">
        <v>35</v>
      </c>
      <c r="M8" s="9" t="s">
        <v>36</v>
      </c>
      <c r="N8" s="9">
        <v>191.78</v>
      </c>
      <c r="O8" s="9">
        <v>8</v>
      </c>
      <c r="P8" s="9">
        <v>0.1</v>
      </c>
      <c r="Q8" s="9">
        <v>57.34</v>
      </c>
    </row>
    <row r="9" spans="1:17" x14ac:dyDescent="0.25">
      <c r="A9" s="9" t="s">
        <v>37</v>
      </c>
      <c r="B9" s="10">
        <v>45703</v>
      </c>
      <c r="C9" s="10">
        <v>45724</v>
      </c>
      <c r="D9" s="9" t="s">
        <v>38</v>
      </c>
      <c r="E9" s="9" t="s">
        <v>39</v>
      </c>
      <c r="F9" s="9" t="s">
        <v>31</v>
      </c>
      <c r="G9" s="9" t="s">
        <v>22</v>
      </c>
      <c r="H9" s="9" t="s">
        <v>23</v>
      </c>
      <c r="I9" s="9" t="s">
        <v>40</v>
      </c>
      <c r="J9" s="9" t="s">
        <v>41</v>
      </c>
      <c r="K9" s="9" t="s">
        <v>42</v>
      </c>
      <c r="L9" s="9" t="s">
        <v>35</v>
      </c>
      <c r="M9" s="9" t="s">
        <v>43</v>
      </c>
      <c r="N9" s="9">
        <v>1629.06</v>
      </c>
      <c r="O9" s="9">
        <v>8</v>
      </c>
      <c r="P9" s="9">
        <v>0.15</v>
      </c>
      <c r="Q9" s="9">
        <v>-464.13</v>
      </c>
    </row>
    <row r="10" spans="1:17" x14ac:dyDescent="0.25">
      <c r="A10" s="9" t="s">
        <v>44</v>
      </c>
      <c r="B10" s="10">
        <v>45778</v>
      </c>
      <c r="C10" s="10">
        <v>45699</v>
      </c>
      <c r="D10" s="9" t="s">
        <v>38</v>
      </c>
      <c r="E10" s="9" t="s">
        <v>45</v>
      </c>
      <c r="F10" s="9" t="s">
        <v>21</v>
      </c>
      <c r="G10" s="9" t="s">
        <v>22</v>
      </c>
      <c r="H10" s="9" t="s">
        <v>46</v>
      </c>
      <c r="I10" s="9" t="s">
        <v>24</v>
      </c>
      <c r="J10" s="9" t="s">
        <v>41</v>
      </c>
      <c r="K10" s="9" t="s">
        <v>47</v>
      </c>
      <c r="L10" s="9" t="s">
        <v>27</v>
      </c>
      <c r="M10" s="9" t="s">
        <v>48</v>
      </c>
      <c r="N10" s="9">
        <v>1669.47</v>
      </c>
      <c r="O10" s="9">
        <v>7</v>
      </c>
      <c r="P10" s="9">
        <v>0.2</v>
      </c>
      <c r="Q10" s="9">
        <v>438.78</v>
      </c>
    </row>
    <row r="11" spans="1:17" x14ac:dyDescent="0.25">
      <c r="A11" s="9" t="s">
        <v>49</v>
      </c>
      <c r="B11" s="10">
        <v>45844</v>
      </c>
      <c r="C11" s="10">
        <v>45892</v>
      </c>
      <c r="D11" s="9" t="s">
        <v>19</v>
      </c>
      <c r="E11" s="9" t="s">
        <v>50</v>
      </c>
      <c r="F11" s="9" t="s">
        <v>31</v>
      </c>
      <c r="G11" s="9" t="s">
        <v>22</v>
      </c>
      <c r="H11" s="9" t="s">
        <v>51</v>
      </c>
      <c r="I11" s="9" t="s">
        <v>40</v>
      </c>
      <c r="J11" s="9" t="s">
        <v>41</v>
      </c>
      <c r="K11" s="9" t="s">
        <v>52</v>
      </c>
      <c r="L11" s="9" t="s">
        <v>27</v>
      </c>
      <c r="M11" s="9" t="s">
        <v>28</v>
      </c>
      <c r="N11" s="9">
        <v>2309.46</v>
      </c>
      <c r="O11" s="9">
        <v>5</v>
      </c>
      <c r="P11" s="9">
        <v>0.3</v>
      </c>
      <c r="Q11" s="9">
        <v>-77.959999999999994</v>
      </c>
    </row>
    <row r="12" spans="1:17" x14ac:dyDescent="0.25">
      <c r="A12" s="9" t="s">
        <v>53</v>
      </c>
      <c r="B12" s="10">
        <v>45911</v>
      </c>
      <c r="C12" s="10">
        <v>45662</v>
      </c>
      <c r="D12" s="9" t="s">
        <v>54</v>
      </c>
      <c r="E12" s="9" t="s">
        <v>55</v>
      </c>
      <c r="F12" s="9" t="s">
        <v>21</v>
      </c>
      <c r="G12" s="9" t="s">
        <v>22</v>
      </c>
      <c r="H12" s="9" t="s">
        <v>23</v>
      </c>
      <c r="I12" s="9" t="s">
        <v>40</v>
      </c>
      <c r="J12" s="9" t="s">
        <v>25</v>
      </c>
      <c r="K12" s="9" t="s">
        <v>56</v>
      </c>
      <c r="L12" s="9" t="s">
        <v>27</v>
      </c>
      <c r="M12" s="9" t="s">
        <v>48</v>
      </c>
      <c r="N12" s="9">
        <v>414.18</v>
      </c>
      <c r="O12" s="9">
        <v>3</v>
      </c>
      <c r="P12" s="9">
        <v>0.4</v>
      </c>
      <c r="Q12" s="9">
        <v>143.03</v>
      </c>
    </row>
    <row r="13" spans="1:17" x14ac:dyDescent="0.25">
      <c r="A13" s="9" t="s">
        <v>57</v>
      </c>
      <c r="B13" s="10">
        <v>45814</v>
      </c>
      <c r="C13" s="10">
        <v>45786</v>
      </c>
      <c r="D13" s="9" t="s">
        <v>38</v>
      </c>
      <c r="E13" s="9" t="s">
        <v>58</v>
      </c>
      <c r="F13" s="9" t="s">
        <v>21</v>
      </c>
      <c r="G13" s="9" t="s">
        <v>22</v>
      </c>
      <c r="H13" s="9" t="s">
        <v>46</v>
      </c>
      <c r="I13" s="9" t="s">
        <v>24</v>
      </c>
      <c r="J13" s="9" t="s">
        <v>41</v>
      </c>
      <c r="K13" s="9" t="s">
        <v>59</v>
      </c>
      <c r="L13" s="9" t="s">
        <v>35</v>
      </c>
      <c r="M13" s="9" t="s">
        <v>43</v>
      </c>
      <c r="N13" s="9">
        <v>1573.71</v>
      </c>
      <c r="O13" s="9">
        <v>6</v>
      </c>
      <c r="P13" s="9">
        <v>0.15</v>
      </c>
      <c r="Q13" s="9">
        <v>-117.56</v>
      </c>
    </row>
    <row r="14" spans="1:17" x14ac:dyDescent="0.25">
      <c r="A14" s="9" t="s">
        <v>60</v>
      </c>
      <c r="B14" s="10">
        <v>45781</v>
      </c>
      <c r="C14" s="10">
        <v>45869</v>
      </c>
      <c r="D14" s="9" t="s">
        <v>38</v>
      </c>
      <c r="E14" s="9" t="s">
        <v>61</v>
      </c>
      <c r="F14" s="9" t="s">
        <v>62</v>
      </c>
      <c r="G14" s="9" t="s">
        <v>22</v>
      </c>
      <c r="H14" s="9" t="s">
        <v>46</v>
      </c>
      <c r="I14" s="9" t="s">
        <v>40</v>
      </c>
      <c r="J14" s="9" t="s">
        <v>41</v>
      </c>
      <c r="K14" s="9" t="s">
        <v>63</v>
      </c>
      <c r="L14" s="9" t="s">
        <v>27</v>
      </c>
      <c r="M14" s="9" t="s">
        <v>64</v>
      </c>
      <c r="N14" s="9">
        <v>111.01</v>
      </c>
      <c r="O14" s="9">
        <v>7</v>
      </c>
      <c r="P14" s="9">
        <v>0.3</v>
      </c>
      <c r="Q14" s="9">
        <v>31.54</v>
      </c>
    </row>
    <row r="15" spans="1:17" x14ac:dyDescent="0.25">
      <c r="A15" s="9" t="s">
        <v>65</v>
      </c>
      <c r="B15" s="10">
        <v>45693</v>
      </c>
      <c r="C15" s="10">
        <v>45885</v>
      </c>
      <c r="D15" s="9" t="s">
        <v>54</v>
      </c>
      <c r="E15" s="9" t="s">
        <v>66</v>
      </c>
      <c r="F15" s="9" t="s">
        <v>62</v>
      </c>
      <c r="G15" s="9" t="s">
        <v>22</v>
      </c>
      <c r="H15" s="9" t="s">
        <v>32</v>
      </c>
      <c r="I15" s="9" t="s">
        <v>24</v>
      </c>
      <c r="J15" s="9" t="s">
        <v>33</v>
      </c>
      <c r="K15" s="9" t="s">
        <v>67</v>
      </c>
      <c r="L15" s="9" t="s">
        <v>35</v>
      </c>
      <c r="M15" s="9" t="s">
        <v>43</v>
      </c>
      <c r="N15" s="9">
        <v>2341.9899999999998</v>
      </c>
      <c r="O15" s="9">
        <v>1</v>
      </c>
      <c r="P15" s="9">
        <v>0.1</v>
      </c>
      <c r="Q15" s="9">
        <v>-455.54</v>
      </c>
    </row>
    <row r="16" spans="1:17" x14ac:dyDescent="0.25">
      <c r="A16" s="9" t="s">
        <v>68</v>
      </c>
      <c r="B16" s="10">
        <v>45859</v>
      </c>
      <c r="C16" s="10">
        <v>45696</v>
      </c>
      <c r="D16" s="9" t="s">
        <v>54</v>
      </c>
      <c r="E16" s="9" t="s">
        <v>69</v>
      </c>
      <c r="F16" s="9" t="s">
        <v>62</v>
      </c>
      <c r="G16" s="9" t="s">
        <v>22</v>
      </c>
      <c r="H16" s="9" t="s">
        <v>23</v>
      </c>
      <c r="I16" s="9" t="s">
        <v>24</v>
      </c>
      <c r="J16" s="9" t="s">
        <v>41</v>
      </c>
      <c r="K16" s="9" t="s">
        <v>70</v>
      </c>
      <c r="L16" s="9" t="s">
        <v>71</v>
      </c>
      <c r="M16" s="9" t="s">
        <v>72</v>
      </c>
      <c r="N16" s="9">
        <v>738.89</v>
      </c>
      <c r="O16" s="9">
        <v>1</v>
      </c>
      <c r="P16" s="9">
        <v>0.2</v>
      </c>
      <c r="Q16" s="9">
        <v>-102.27</v>
      </c>
    </row>
    <row r="17" spans="1:17" x14ac:dyDescent="0.25">
      <c r="A17" s="9" t="s">
        <v>73</v>
      </c>
      <c r="B17" s="10">
        <v>45903</v>
      </c>
      <c r="C17" s="10">
        <v>45675</v>
      </c>
      <c r="D17" s="9" t="s">
        <v>38</v>
      </c>
      <c r="E17" s="9" t="s">
        <v>74</v>
      </c>
      <c r="F17" s="9" t="s">
        <v>31</v>
      </c>
      <c r="G17" s="9" t="s">
        <v>22</v>
      </c>
      <c r="H17" s="9" t="s">
        <v>23</v>
      </c>
      <c r="I17" s="9" t="s">
        <v>40</v>
      </c>
      <c r="J17" s="9" t="s">
        <v>41</v>
      </c>
      <c r="K17" s="9" t="s">
        <v>75</v>
      </c>
      <c r="L17" s="9" t="s">
        <v>71</v>
      </c>
      <c r="M17" s="9" t="s">
        <v>76</v>
      </c>
      <c r="N17" s="9">
        <v>2398.02</v>
      </c>
      <c r="O17" s="9">
        <v>8</v>
      </c>
      <c r="P17" s="9">
        <v>0.3</v>
      </c>
      <c r="Q17" s="9">
        <v>701.28</v>
      </c>
    </row>
    <row r="18" spans="1:17" x14ac:dyDescent="0.25">
      <c r="A18" s="9" t="s">
        <v>77</v>
      </c>
      <c r="B18" s="10">
        <v>45729</v>
      </c>
      <c r="C18" s="10">
        <v>45666</v>
      </c>
      <c r="D18" s="9" t="s">
        <v>54</v>
      </c>
      <c r="E18" s="9" t="s">
        <v>78</v>
      </c>
      <c r="F18" s="9" t="s">
        <v>62</v>
      </c>
      <c r="G18" s="9" t="s">
        <v>22</v>
      </c>
      <c r="H18" s="9" t="s">
        <v>23</v>
      </c>
      <c r="I18" s="9" t="s">
        <v>24</v>
      </c>
      <c r="J18" s="9" t="s">
        <v>33</v>
      </c>
      <c r="K18" s="9" t="s">
        <v>79</v>
      </c>
      <c r="L18" s="9" t="s">
        <v>35</v>
      </c>
      <c r="M18" s="9" t="s">
        <v>36</v>
      </c>
      <c r="N18" s="9">
        <v>783.78</v>
      </c>
      <c r="O18" s="9">
        <v>6</v>
      </c>
      <c r="P18" s="9">
        <v>0.3</v>
      </c>
      <c r="Q18" s="9">
        <v>64.64</v>
      </c>
    </row>
    <row r="19" spans="1:17" x14ac:dyDescent="0.25">
      <c r="A19" s="9" t="s">
        <v>80</v>
      </c>
      <c r="B19" s="10">
        <v>45865</v>
      </c>
      <c r="C19" s="10">
        <v>45731</v>
      </c>
      <c r="D19" s="9" t="s">
        <v>38</v>
      </c>
      <c r="E19" s="9" t="s">
        <v>81</v>
      </c>
      <c r="F19" s="9" t="s">
        <v>21</v>
      </c>
      <c r="G19" s="9" t="s">
        <v>22</v>
      </c>
      <c r="H19" s="9" t="s">
        <v>46</v>
      </c>
      <c r="I19" s="9" t="s">
        <v>40</v>
      </c>
      <c r="J19" s="9" t="s">
        <v>25</v>
      </c>
      <c r="K19" s="9" t="s">
        <v>82</v>
      </c>
      <c r="L19" s="9" t="s">
        <v>35</v>
      </c>
      <c r="M19" s="9" t="s">
        <v>43</v>
      </c>
      <c r="N19" s="9">
        <v>2132.17</v>
      </c>
      <c r="O19" s="9">
        <v>3</v>
      </c>
      <c r="P19" s="9">
        <v>0.3</v>
      </c>
      <c r="Q19" s="9">
        <v>-56.04</v>
      </c>
    </row>
    <row r="20" spans="1:17" x14ac:dyDescent="0.25">
      <c r="A20" s="9" t="s">
        <v>83</v>
      </c>
      <c r="B20" s="10">
        <v>45718</v>
      </c>
      <c r="C20" s="10">
        <v>45805</v>
      </c>
      <c r="D20" s="9" t="s">
        <v>38</v>
      </c>
      <c r="E20" s="9" t="s">
        <v>84</v>
      </c>
      <c r="F20" s="9" t="s">
        <v>31</v>
      </c>
      <c r="G20" s="9" t="s">
        <v>22</v>
      </c>
      <c r="H20" s="9" t="s">
        <v>51</v>
      </c>
      <c r="I20" s="9" t="s">
        <v>40</v>
      </c>
      <c r="J20" s="9" t="s">
        <v>41</v>
      </c>
      <c r="K20" s="9" t="s">
        <v>85</v>
      </c>
      <c r="L20" s="9" t="s">
        <v>27</v>
      </c>
      <c r="M20" s="9" t="s">
        <v>64</v>
      </c>
      <c r="N20" s="9">
        <v>1128.2</v>
      </c>
      <c r="O20" s="9">
        <v>4</v>
      </c>
      <c r="P20" s="9">
        <v>0.1</v>
      </c>
      <c r="Q20" s="9">
        <v>-285.74</v>
      </c>
    </row>
    <row r="21" spans="1:17" x14ac:dyDescent="0.25">
      <c r="A21" s="9" t="s">
        <v>86</v>
      </c>
      <c r="B21" s="10">
        <v>45939</v>
      </c>
      <c r="C21" s="10">
        <v>45684</v>
      </c>
      <c r="D21" s="9" t="s">
        <v>19</v>
      </c>
      <c r="E21" s="9" t="s">
        <v>87</v>
      </c>
      <c r="F21" s="9" t="s">
        <v>62</v>
      </c>
      <c r="G21" s="9" t="s">
        <v>22</v>
      </c>
      <c r="H21" s="9" t="s">
        <v>46</v>
      </c>
      <c r="I21" s="9" t="s">
        <v>24</v>
      </c>
      <c r="J21" s="9" t="s">
        <v>41</v>
      </c>
      <c r="K21" s="9" t="s">
        <v>88</v>
      </c>
      <c r="L21" s="9" t="s">
        <v>35</v>
      </c>
      <c r="M21" s="9" t="s">
        <v>43</v>
      </c>
      <c r="N21" s="9">
        <v>470.31</v>
      </c>
      <c r="O21" s="9">
        <v>8</v>
      </c>
      <c r="P21" s="9">
        <v>0.2</v>
      </c>
      <c r="Q21" s="9">
        <v>-79.459999999999994</v>
      </c>
    </row>
    <row r="22" spans="1:17" x14ac:dyDescent="0.25">
      <c r="A22" s="9" t="s">
        <v>89</v>
      </c>
      <c r="B22" s="10">
        <v>45777</v>
      </c>
      <c r="C22" s="10">
        <v>45790</v>
      </c>
      <c r="D22" s="9" t="s">
        <v>19</v>
      </c>
      <c r="E22" s="9" t="s">
        <v>20</v>
      </c>
      <c r="F22" s="9" t="s">
        <v>62</v>
      </c>
      <c r="G22" s="9" t="s">
        <v>22</v>
      </c>
      <c r="H22" s="9" t="s">
        <v>51</v>
      </c>
      <c r="I22" s="9" t="s">
        <v>24</v>
      </c>
      <c r="J22" s="9" t="s">
        <v>90</v>
      </c>
      <c r="K22" s="9" t="s">
        <v>91</v>
      </c>
      <c r="L22" s="9" t="s">
        <v>27</v>
      </c>
      <c r="M22" s="9" t="s">
        <v>28</v>
      </c>
      <c r="N22" s="9">
        <v>1914.52</v>
      </c>
      <c r="O22" s="9">
        <v>7</v>
      </c>
      <c r="P22" s="9">
        <v>0.1</v>
      </c>
      <c r="Q22" s="9">
        <v>488.94</v>
      </c>
    </row>
    <row r="23" spans="1:17" x14ac:dyDescent="0.25">
      <c r="A23" s="9" t="s">
        <v>92</v>
      </c>
      <c r="B23" s="10">
        <v>45939</v>
      </c>
      <c r="C23" s="10">
        <v>45911</v>
      </c>
      <c r="D23" s="9" t="s">
        <v>19</v>
      </c>
      <c r="E23" s="9" t="s">
        <v>30</v>
      </c>
      <c r="F23" s="9" t="s">
        <v>21</v>
      </c>
      <c r="G23" s="9" t="s">
        <v>22</v>
      </c>
      <c r="H23" s="9" t="s">
        <v>46</v>
      </c>
      <c r="I23" s="9" t="s">
        <v>40</v>
      </c>
      <c r="J23" s="9" t="s">
        <v>33</v>
      </c>
      <c r="K23" s="9" t="s">
        <v>93</v>
      </c>
      <c r="L23" s="9" t="s">
        <v>27</v>
      </c>
      <c r="M23" s="9" t="s">
        <v>28</v>
      </c>
      <c r="N23" s="9">
        <v>1820.83</v>
      </c>
      <c r="O23" s="9">
        <v>5</v>
      </c>
      <c r="P23" s="9">
        <v>0.15</v>
      </c>
      <c r="Q23" s="9">
        <v>421.42</v>
      </c>
    </row>
    <row r="24" spans="1:17" x14ac:dyDescent="0.25">
      <c r="A24" s="9" t="s">
        <v>94</v>
      </c>
      <c r="B24" s="10">
        <v>45824</v>
      </c>
      <c r="C24" s="10">
        <v>45764</v>
      </c>
      <c r="D24" s="9" t="s">
        <v>54</v>
      </c>
      <c r="E24" s="9" t="s">
        <v>39</v>
      </c>
      <c r="F24" s="9" t="s">
        <v>21</v>
      </c>
      <c r="G24" s="9" t="s">
        <v>22</v>
      </c>
      <c r="H24" s="9" t="s">
        <v>51</v>
      </c>
      <c r="I24" s="9" t="s">
        <v>40</v>
      </c>
      <c r="J24" s="9" t="s">
        <v>25</v>
      </c>
      <c r="K24" s="9" t="s">
        <v>95</v>
      </c>
      <c r="L24" s="9" t="s">
        <v>35</v>
      </c>
      <c r="M24" s="9" t="s">
        <v>96</v>
      </c>
      <c r="N24" s="9">
        <v>1323.95</v>
      </c>
      <c r="O24" s="9">
        <v>2</v>
      </c>
      <c r="P24" s="9">
        <v>0.3</v>
      </c>
      <c r="Q24" s="9">
        <v>-234.06</v>
      </c>
    </row>
    <row r="25" spans="1:17" x14ac:dyDescent="0.25">
      <c r="A25" s="9" t="s">
        <v>97</v>
      </c>
      <c r="B25" s="10">
        <v>45668</v>
      </c>
      <c r="C25" s="10">
        <v>45887</v>
      </c>
      <c r="D25" s="9" t="s">
        <v>54</v>
      </c>
      <c r="E25" s="9" t="s">
        <v>45</v>
      </c>
      <c r="F25" s="9" t="s">
        <v>62</v>
      </c>
      <c r="G25" s="9" t="s">
        <v>22</v>
      </c>
      <c r="H25" s="9" t="s">
        <v>32</v>
      </c>
      <c r="I25" s="9" t="s">
        <v>40</v>
      </c>
      <c r="J25" s="9" t="s">
        <v>25</v>
      </c>
      <c r="K25" s="9" t="s">
        <v>98</v>
      </c>
      <c r="L25" s="9" t="s">
        <v>35</v>
      </c>
      <c r="M25" s="9" t="s">
        <v>43</v>
      </c>
      <c r="N25" s="9">
        <v>1573.84</v>
      </c>
      <c r="O25" s="9">
        <v>4</v>
      </c>
      <c r="P25" s="9">
        <v>0.2</v>
      </c>
      <c r="Q25" s="9">
        <v>44.51</v>
      </c>
    </row>
    <row r="26" spans="1:17" x14ac:dyDescent="0.25">
      <c r="A26" s="9" t="s">
        <v>99</v>
      </c>
      <c r="B26" s="10">
        <v>45865</v>
      </c>
      <c r="C26" s="10">
        <v>45879</v>
      </c>
      <c r="D26" s="9" t="s">
        <v>54</v>
      </c>
      <c r="E26" s="9" t="s">
        <v>50</v>
      </c>
      <c r="F26" s="9" t="s">
        <v>21</v>
      </c>
      <c r="G26" s="9" t="s">
        <v>22</v>
      </c>
      <c r="H26" s="9" t="s">
        <v>32</v>
      </c>
      <c r="I26" s="9" t="s">
        <v>40</v>
      </c>
      <c r="J26" s="9" t="s">
        <v>33</v>
      </c>
      <c r="K26" s="9" t="s">
        <v>100</v>
      </c>
      <c r="L26" s="9" t="s">
        <v>27</v>
      </c>
      <c r="M26" s="9" t="s">
        <v>48</v>
      </c>
      <c r="N26" s="9">
        <v>1660.52</v>
      </c>
      <c r="O26" s="9">
        <v>8</v>
      </c>
      <c r="P26" s="9">
        <v>0</v>
      </c>
      <c r="Q26" s="9">
        <v>-231.5</v>
      </c>
    </row>
    <row r="27" spans="1:17" x14ac:dyDescent="0.25">
      <c r="A27" s="9" t="s">
        <v>101</v>
      </c>
      <c r="B27" s="10">
        <v>45903</v>
      </c>
      <c r="C27" s="10">
        <v>45749</v>
      </c>
      <c r="D27" s="9" t="s">
        <v>54</v>
      </c>
      <c r="E27" s="9" t="s">
        <v>55</v>
      </c>
      <c r="F27" s="9" t="s">
        <v>31</v>
      </c>
      <c r="G27" s="9" t="s">
        <v>22</v>
      </c>
      <c r="H27" s="9" t="s">
        <v>23</v>
      </c>
      <c r="I27" s="9" t="s">
        <v>40</v>
      </c>
      <c r="J27" s="9" t="s">
        <v>33</v>
      </c>
      <c r="K27" s="9" t="s">
        <v>26</v>
      </c>
      <c r="L27" s="9" t="s">
        <v>27</v>
      </c>
      <c r="M27" s="9" t="s">
        <v>64</v>
      </c>
      <c r="N27" s="9">
        <v>2288.38</v>
      </c>
      <c r="O27" s="9">
        <v>4</v>
      </c>
      <c r="P27" s="9">
        <v>0.4</v>
      </c>
      <c r="Q27" s="9">
        <v>-559.48</v>
      </c>
    </row>
    <row r="28" spans="1:17" x14ac:dyDescent="0.25">
      <c r="A28" s="9" t="s">
        <v>102</v>
      </c>
      <c r="B28" s="10">
        <v>45926</v>
      </c>
      <c r="C28" s="10">
        <v>45664</v>
      </c>
      <c r="D28" s="9" t="s">
        <v>38</v>
      </c>
      <c r="E28" s="9" t="s">
        <v>58</v>
      </c>
      <c r="F28" s="9" t="s">
        <v>31</v>
      </c>
      <c r="G28" s="9" t="s">
        <v>22</v>
      </c>
      <c r="H28" s="9" t="s">
        <v>23</v>
      </c>
      <c r="I28" s="9" t="s">
        <v>40</v>
      </c>
      <c r="J28" s="9" t="s">
        <v>41</v>
      </c>
      <c r="K28" s="9" t="s">
        <v>34</v>
      </c>
      <c r="L28" s="9" t="s">
        <v>71</v>
      </c>
      <c r="M28" s="9" t="s">
        <v>103</v>
      </c>
      <c r="N28" s="9">
        <v>977.16</v>
      </c>
      <c r="O28" s="9">
        <v>3</v>
      </c>
      <c r="P28" s="9">
        <v>0.3</v>
      </c>
      <c r="Q28" s="9">
        <v>-50.61</v>
      </c>
    </row>
    <row r="29" spans="1:17" x14ac:dyDescent="0.25">
      <c r="A29" s="9" t="s">
        <v>104</v>
      </c>
      <c r="B29" s="10">
        <v>45850</v>
      </c>
      <c r="C29" s="10">
        <v>45897</v>
      </c>
      <c r="D29" s="9" t="s">
        <v>38</v>
      </c>
      <c r="E29" s="9" t="s">
        <v>61</v>
      </c>
      <c r="F29" s="9" t="s">
        <v>21</v>
      </c>
      <c r="G29" s="9" t="s">
        <v>22</v>
      </c>
      <c r="H29" s="9" t="s">
        <v>32</v>
      </c>
      <c r="I29" s="9" t="s">
        <v>24</v>
      </c>
      <c r="J29" s="9" t="s">
        <v>33</v>
      </c>
      <c r="K29" s="9" t="s">
        <v>42</v>
      </c>
      <c r="L29" s="9" t="s">
        <v>27</v>
      </c>
      <c r="M29" s="9" t="s">
        <v>64</v>
      </c>
      <c r="N29" s="9">
        <v>454.79</v>
      </c>
      <c r="O29" s="9">
        <v>6</v>
      </c>
      <c r="P29" s="9">
        <v>0.3</v>
      </c>
      <c r="Q29" s="9">
        <v>-46.98</v>
      </c>
    </row>
    <row r="30" spans="1:17" x14ac:dyDescent="0.25">
      <c r="A30" s="9" t="s">
        <v>105</v>
      </c>
      <c r="B30" s="10">
        <v>45672</v>
      </c>
      <c r="C30" s="10">
        <v>45825</v>
      </c>
      <c r="D30" s="9" t="s">
        <v>19</v>
      </c>
      <c r="E30" s="9" t="s">
        <v>66</v>
      </c>
      <c r="F30" s="9" t="s">
        <v>31</v>
      </c>
      <c r="G30" s="9" t="s">
        <v>22</v>
      </c>
      <c r="H30" s="9" t="s">
        <v>23</v>
      </c>
      <c r="I30" s="9" t="s">
        <v>24</v>
      </c>
      <c r="J30" s="9" t="s">
        <v>90</v>
      </c>
      <c r="K30" s="9" t="s">
        <v>47</v>
      </c>
      <c r="L30" s="9" t="s">
        <v>35</v>
      </c>
      <c r="M30" s="9" t="s">
        <v>96</v>
      </c>
      <c r="N30" s="9">
        <v>1710.45</v>
      </c>
      <c r="O30" s="9">
        <v>5</v>
      </c>
      <c r="P30" s="9">
        <v>0.15</v>
      </c>
      <c r="Q30" s="9">
        <v>-421.97</v>
      </c>
    </row>
    <row r="31" spans="1:17" x14ac:dyDescent="0.25">
      <c r="A31" s="9" t="s">
        <v>106</v>
      </c>
      <c r="B31" s="10">
        <v>45881</v>
      </c>
      <c r="C31" s="10">
        <v>45896</v>
      </c>
      <c r="D31" s="9" t="s">
        <v>19</v>
      </c>
      <c r="E31" s="9" t="s">
        <v>69</v>
      </c>
      <c r="F31" s="9" t="s">
        <v>62</v>
      </c>
      <c r="G31" s="9" t="s">
        <v>22</v>
      </c>
      <c r="H31" s="9" t="s">
        <v>51</v>
      </c>
      <c r="I31" s="9" t="s">
        <v>24</v>
      </c>
      <c r="J31" s="9" t="s">
        <v>41</v>
      </c>
      <c r="K31" s="9" t="s">
        <v>52</v>
      </c>
      <c r="L31" s="9" t="s">
        <v>35</v>
      </c>
      <c r="M31" s="9" t="s">
        <v>36</v>
      </c>
      <c r="N31" s="9">
        <v>409.77</v>
      </c>
      <c r="O31" s="9">
        <v>5</v>
      </c>
      <c r="P31" s="9">
        <v>0.2</v>
      </c>
      <c r="Q31" s="9">
        <v>1.45</v>
      </c>
    </row>
    <row r="32" spans="1:17" x14ac:dyDescent="0.25">
      <c r="A32" s="9" t="s">
        <v>107</v>
      </c>
      <c r="B32" s="10">
        <v>45846</v>
      </c>
      <c r="C32" s="10">
        <v>45670</v>
      </c>
      <c r="D32" s="9" t="s">
        <v>38</v>
      </c>
      <c r="E32" s="9" t="s">
        <v>74</v>
      </c>
      <c r="F32" s="9" t="s">
        <v>62</v>
      </c>
      <c r="G32" s="9" t="s">
        <v>22</v>
      </c>
      <c r="H32" s="9" t="s">
        <v>46</v>
      </c>
      <c r="I32" s="9" t="s">
        <v>40</v>
      </c>
      <c r="J32" s="9" t="s">
        <v>41</v>
      </c>
      <c r="K32" s="9" t="s">
        <v>56</v>
      </c>
      <c r="L32" s="9" t="s">
        <v>27</v>
      </c>
      <c r="M32" s="9" t="s">
        <v>48</v>
      </c>
      <c r="N32" s="9">
        <v>2438.4299999999998</v>
      </c>
      <c r="O32" s="9">
        <v>8</v>
      </c>
      <c r="P32" s="9">
        <v>0.1</v>
      </c>
      <c r="Q32" s="9">
        <v>-677.04</v>
      </c>
    </row>
    <row r="33" spans="1:17" x14ac:dyDescent="0.25">
      <c r="A33" s="9" t="s">
        <v>108</v>
      </c>
      <c r="B33" s="10">
        <v>45816</v>
      </c>
      <c r="C33" s="10">
        <v>45758</v>
      </c>
      <c r="D33" s="9" t="s">
        <v>54</v>
      </c>
      <c r="E33" s="9" t="s">
        <v>78</v>
      </c>
      <c r="F33" s="9" t="s">
        <v>31</v>
      </c>
      <c r="G33" s="9" t="s">
        <v>22</v>
      </c>
      <c r="H33" s="9" t="s">
        <v>46</v>
      </c>
      <c r="I33" s="9" t="s">
        <v>40</v>
      </c>
      <c r="J33" s="9" t="s">
        <v>90</v>
      </c>
      <c r="K33" s="9" t="s">
        <v>59</v>
      </c>
      <c r="L33" s="9" t="s">
        <v>27</v>
      </c>
      <c r="M33" s="9" t="s">
        <v>48</v>
      </c>
      <c r="N33" s="9">
        <v>2355.06</v>
      </c>
      <c r="O33" s="9">
        <v>3</v>
      </c>
      <c r="P33" s="9">
        <v>0.1</v>
      </c>
      <c r="Q33" s="9">
        <v>-561.83000000000004</v>
      </c>
    </row>
    <row r="34" spans="1:17" x14ac:dyDescent="0.25">
      <c r="A34" s="9" t="s">
        <v>109</v>
      </c>
      <c r="B34" s="10">
        <v>45871</v>
      </c>
      <c r="C34" s="10">
        <v>45867</v>
      </c>
      <c r="D34" s="9" t="s">
        <v>19</v>
      </c>
      <c r="E34" s="9" t="s">
        <v>81</v>
      </c>
      <c r="F34" s="9" t="s">
        <v>21</v>
      </c>
      <c r="G34" s="9" t="s">
        <v>22</v>
      </c>
      <c r="H34" s="9" t="s">
        <v>23</v>
      </c>
      <c r="I34" s="9" t="s">
        <v>40</v>
      </c>
      <c r="J34" s="9" t="s">
        <v>25</v>
      </c>
      <c r="K34" s="9" t="s">
        <v>63</v>
      </c>
      <c r="L34" s="9" t="s">
        <v>35</v>
      </c>
      <c r="M34" s="9" t="s">
        <v>36</v>
      </c>
      <c r="N34" s="9">
        <v>1332.95</v>
      </c>
      <c r="O34" s="9">
        <v>2</v>
      </c>
      <c r="P34" s="9">
        <v>0</v>
      </c>
      <c r="Q34" s="9">
        <v>-132.47</v>
      </c>
    </row>
    <row r="35" spans="1:17" x14ac:dyDescent="0.25">
      <c r="A35" s="9" t="s">
        <v>110</v>
      </c>
      <c r="B35" s="10">
        <v>45754</v>
      </c>
      <c r="C35" s="10">
        <v>45738</v>
      </c>
      <c r="D35" s="9" t="s">
        <v>38</v>
      </c>
      <c r="E35" s="9" t="s">
        <v>84</v>
      </c>
      <c r="F35" s="9" t="s">
        <v>31</v>
      </c>
      <c r="G35" s="9" t="s">
        <v>22</v>
      </c>
      <c r="H35" s="9" t="s">
        <v>32</v>
      </c>
      <c r="I35" s="9" t="s">
        <v>40</v>
      </c>
      <c r="J35" s="9" t="s">
        <v>33</v>
      </c>
      <c r="K35" s="9" t="s">
        <v>67</v>
      </c>
      <c r="L35" s="9" t="s">
        <v>27</v>
      </c>
      <c r="M35" s="9" t="s">
        <v>28</v>
      </c>
      <c r="N35" s="9">
        <v>2251.1999999999998</v>
      </c>
      <c r="O35" s="9">
        <v>3</v>
      </c>
      <c r="P35" s="9">
        <v>0.4</v>
      </c>
      <c r="Q35" s="9">
        <v>771.99</v>
      </c>
    </row>
    <row r="36" spans="1:17" x14ac:dyDescent="0.25">
      <c r="A36" s="9" t="s">
        <v>111</v>
      </c>
      <c r="B36" s="10">
        <v>45662</v>
      </c>
      <c r="C36" s="10">
        <v>45697</v>
      </c>
      <c r="D36" s="9" t="s">
        <v>19</v>
      </c>
      <c r="E36" s="9" t="s">
        <v>87</v>
      </c>
      <c r="F36" s="9" t="s">
        <v>21</v>
      </c>
      <c r="G36" s="9" t="s">
        <v>22</v>
      </c>
      <c r="H36" s="9" t="s">
        <v>23</v>
      </c>
      <c r="I36" s="9" t="s">
        <v>24</v>
      </c>
      <c r="J36" s="9" t="s">
        <v>90</v>
      </c>
      <c r="K36" s="9" t="s">
        <v>70</v>
      </c>
      <c r="L36" s="9" t="s">
        <v>71</v>
      </c>
      <c r="M36" s="9" t="s">
        <v>76</v>
      </c>
      <c r="N36" s="9">
        <v>895.75</v>
      </c>
      <c r="O36" s="9">
        <v>6</v>
      </c>
      <c r="P36" s="9">
        <v>0.15</v>
      </c>
      <c r="Q36" s="9">
        <v>103.89</v>
      </c>
    </row>
    <row r="37" spans="1:17" x14ac:dyDescent="0.25">
      <c r="A37" s="9" t="s">
        <v>112</v>
      </c>
      <c r="B37" s="10">
        <v>45798</v>
      </c>
      <c r="C37" s="10">
        <v>45865</v>
      </c>
      <c r="D37" s="9" t="s">
        <v>38</v>
      </c>
      <c r="E37" s="9" t="s">
        <v>20</v>
      </c>
      <c r="F37" s="9" t="s">
        <v>21</v>
      </c>
      <c r="G37" s="9" t="s">
        <v>22</v>
      </c>
      <c r="H37" s="9" t="s">
        <v>46</v>
      </c>
      <c r="I37" s="9" t="s">
        <v>24</v>
      </c>
      <c r="J37" s="9" t="s">
        <v>33</v>
      </c>
      <c r="K37" s="9" t="s">
        <v>75</v>
      </c>
      <c r="L37" s="9" t="s">
        <v>71</v>
      </c>
      <c r="M37" s="9" t="s">
        <v>103</v>
      </c>
      <c r="N37" s="9">
        <v>165.73</v>
      </c>
      <c r="O37" s="9">
        <v>5</v>
      </c>
      <c r="P37" s="9">
        <v>0</v>
      </c>
      <c r="Q37" s="9">
        <v>13.33</v>
      </c>
    </row>
    <row r="38" spans="1:17" x14ac:dyDescent="0.25">
      <c r="A38" s="9" t="s">
        <v>113</v>
      </c>
      <c r="B38" s="10">
        <v>45874</v>
      </c>
      <c r="C38" s="10">
        <v>45701</v>
      </c>
      <c r="D38" s="9" t="s">
        <v>54</v>
      </c>
      <c r="E38" s="9" t="s">
        <v>30</v>
      </c>
      <c r="F38" s="9" t="s">
        <v>21</v>
      </c>
      <c r="G38" s="9" t="s">
        <v>22</v>
      </c>
      <c r="H38" s="9" t="s">
        <v>23</v>
      </c>
      <c r="I38" s="9" t="s">
        <v>24</v>
      </c>
      <c r="J38" s="9" t="s">
        <v>33</v>
      </c>
      <c r="K38" s="9" t="s">
        <v>79</v>
      </c>
      <c r="L38" s="9" t="s">
        <v>71</v>
      </c>
      <c r="M38" s="9" t="s">
        <v>76</v>
      </c>
      <c r="N38" s="9">
        <v>1733.34</v>
      </c>
      <c r="O38" s="9">
        <v>3</v>
      </c>
      <c r="P38" s="9">
        <v>0.4</v>
      </c>
      <c r="Q38" s="9">
        <v>554.85</v>
      </c>
    </row>
    <row r="39" spans="1:17" x14ac:dyDescent="0.25">
      <c r="A39" s="9" t="s">
        <v>114</v>
      </c>
      <c r="B39" s="10">
        <v>45884</v>
      </c>
      <c r="C39" s="10">
        <v>45670</v>
      </c>
      <c r="D39" s="9" t="s">
        <v>54</v>
      </c>
      <c r="E39" s="9" t="s">
        <v>39</v>
      </c>
      <c r="F39" s="9" t="s">
        <v>62</v>
      </c>
      <c r="G39" s="9" t="s">
        <v>22</v>
      </c>
      <c r="H39" s="9" t="s">
        <v>46</v>
      </c>
      <c r="I39" s="9" t="s">
        <v>24</v>
      </c>
      <c r="J39" s="9" t="s">
        <v>25</v>
      </c>
      <c r="K39" s="9" t="s">
        <v>82</v>
      </c>
      <c r="L39" s="9" t="s">
        <v>27</v>
      </c>
      <c r="M39" s="9" t="s">
        <v>64</v>
      </c>
      <c r="N39" s="9">
        <v>933.87</v>
      </c>
      <c r="O39" s="9">
        <v>5</v>
      </c>
      <c r="P39" s="9">
        <v>0.2</v>
      </c>
      <c r="Q39" s="9">
        <v>-181.82</v>
      </c>
    </row>
    <row r="40" spans="1:17" x14ac:dyDescent="0.25">
      <c r="A40" s="9" t="s">
        <v>115</v>
      </c>
      <c r="B40" s="10">
        <v>45663</v>
      </c>
      <c r="C40" s="10">
        <v>45841</v>
      </c>
      <c r="D40" s="9" t="s">
        <v>38</v>
      </c>
      <c r="E40" s="9" t="s">
        <v>45</v>
      </c>
      <c r="F40" s="9" t="s">
        <v>62</v>
      </c>
      <c r="G40" s="9" t="s">
        <v>22</v>
      </c>
      <c r="H40" s="9" t="s">
        <v>51</v>
      </c>
      <c r="I40" s="9" t="s">
        <v>24</v>
      </c>
      <c r="J40" s="9" t="s">
        <v>41</v>
      </c>
      <c r="K40" s="9" t="s">
        <v>85</v>
      </c>
      <c r="L40" s="9" t="s">
        <v>71</v>
      </c>
      <c r="M40" s="9" t="s">
        <v>76</v>
      </c>
      <c r="N40" s="9">
        <v>2355.75</v>
      </c>
      <c r="O40" s="9">
        <v>3</v>
      </c>
      <c r="P40" s="9">
        <v>0.4</v>
      </c>
      <c r="Q40" s="9">
        <v>508.88</v>
      </c>
    </row>
    <row r="41" spans="1:17" x14ac:dyDescent="0.25">
      <c r="A41" s="9" t="s">
        <v>116</v>
      </c>
      <c r="B41" s="10">
        <v>45921</v>
      </c>
      <c r="C41" s="10">
        <v>45945</v>
      </c>
      <c r="D41" s="9" t="s">
        <v>54</v>
      </c>
      <c r="E41" s="9" t="s">
        <v>50</v>
      </c>
      <c r="F41" s="9" t="s">
        <v>31</v>
      </c>
      <c r="G41" s="9" t="s">
        <v>22</v>
      </c>
      <c r="H41" s="9" t="s">
        <v>51</v>
      </c>
      <c r="I41" s="9" t="s">
        <v>24</v>
      </c>
      <c r="J41" s="9" t="s">
        <v>90</v>
      </c>
      <c r="K41" s="9" t="s">
        <v>88</v>
      </c>
      <c r="L41" s="9" t="s">
        <v>27</v>
      </c>
      <c r="M41" s="9" t="s">
        <v>64</v>
      </c>
      <c r="N41" s="9">
        <v>1261.25</v>
      </c>
      <c r="O41" s="9">
        <v>7</v>
      </c>
      <c r="P41" s="9">
        <v>0.2</v>
      </c>
      <c r="Q41" s="9">
        <v>-208.81</v>
      </c>
    </row>
    <row r="42" spans="1:17" x14ac:dyDescent="0.25">
      <c r="A42" s="9" t="s">
        <v>117</v>
      </c>
      <c r="B42" s="10">
        <v>45843</v>
      </c>
      <c r="C42" s="10">
        <v>45954</v>
      </c>
      <c r="D42" s="9" t="s">
        <v>38</v>
      </c>
      <c r="E42" s="9" t="s">
        <v>55</v>
      </c>
      <c r="F42" s="9" t="s">
        <v>21</v>
      </c>
      <c r="G42" s="9" t="s">
        <v>22</v>
      </c>
      <c r="H42" s="9" t="s">
        <v>32</v>
      </c>
      <c r="I42" s="9" t="s">
        <v>24</v>
      </c>
      <c r="J42" s="9" t="s">
        <v>90</v>
      </c>
      <c r="K42" s="9" t="s">
        <v>91</v>
      </c>
      <c r="L42" s="9" t="s">
        <v>35</v>
      </c>
      <c r="M42" s="9" t="s">
        <v>43</v>
      </c>
      <c r="N42" s="9">
        <v>892.69</v>
      </c>
      <c r="O42" s="9">
        <v>2</v>
      </c>
      <c r="P42" s="9">
        <v>0.4</v>
      </c>
      <c r="Q42" s="9">
        <v>205.08</v>
      </c>
    </row>
    <row r="43" spans="1:17" x14ac:dyDescent="0.25">
      <c r="A43" s="9" t="s">
        <v>118</v>
      </c>
      <c r="B43" s="10">
        <v>45740</v>
      </c>
      <c r="C43" s="10">
        <v>45783</v>
      </c>
      <c r="D43" s="9" t="s">
        <v>19</v>
      </c>
      <c r="E43" s="9" t="s">
        <v>58</v>
      </c>
      <c r="F43" s="9" t="s">
        <v>31</v>
      </c>
      <c r="G43" s="9" t="s">
        <v>22</v>
      </c>
      <c r="H43" s="9" t="s">
        <v>32</v>
      </c>
      <c r="I43" s="9" t="s">
        <v>40</v>
      </c>
      <c r="J43" s="9" t="s">
        <v>90</v>
      </c>
      <c r="K43" s="9" t="s">
        <v>93</v>
      </c>
      <c r="L43" s="9" t="s">
        <v>27</v>
      </c>
      <c r="M43" s="9" t="s">
        <v>64</v>
      </c>
      <c r="N43" s="9">
        <v>1317.12</v>
      </c>
      <c r="O43" s="9">
        <v>4</v>
      </c>
      <c r="P43" s="9">
        <v>0.3</v>
      </c>
      <c r="Q43" s="9">
        <v>-141.63999999999999</v>
      </c>
    </row>
    <row r="44" spans="1:17" x14ac:dyDescent="0.25">
      <c r="A44" s="9" t="s">
        <v>119</v>
      </c>
      <c r="B44" s="10">
        <v>45902</v>
      </c>
      <c r="C44" s="10">
        <v>45796</v>
      </c>
      <c r="D44" s="9" t="s">
        <v>38</v>
      </c>
      <c r="E44" s="9" t="s">
        <v>61</v>
      </c>
      <c r="F44" s="9" t="s">
        <v>62</v>
      </c>
      <c r="G44" s="9" t="s">
        <v>22</v>
      </c>
      <c r="H44" s="9" t="s">
        <v>32</v>
      </c>
      <c r="I44" s="9" t="s">
        <v>24</v>
      </c>
      <c r="J44" s="9" t="s">
        <v>25</v>
      </c>
      <c r="K44" s="9" t="s">
        <v>95</v>
      </c>
      <c r="L44" s="9" t="s">
        <v>71</v>
      </c>
      <c r="M44" s="9" t="s">
        <v>76</v>
      </c>
      <c r="N44" s="9">
        <v>1086.72</v>
      </c>
      <c r="O44" s="9">
        <v>6</v>
      </c>
      <c r="P44" s="9">
        <v>0.2</v>
      </c>
      <c r="Q44" s="9">
        <v>-169.02</v>
      </c>
    </row>
    <row r="45" spans="1:17" x14ac:dyDescent="0.25">
      <c r="A45" s="9" t="s">
        <v>120</v>
      </c>
      <c r="B45" s="10">
        <v>45770</v>
      </c>
      <c r="C45" s="10">
        <v>45742</v>
      </c>
      <c r="D45" s="9" t="s">
        <v>54</v>
      </c>
      <c r="E45" s="9" t="s">
        <v>66</v>
      </c>
      <c r="F45" s="9" t="s">
        <v>21</v>
      </c>
      <c r="G45" s="9" t="s">
        <v>22</v>
      </c>
      <c r="H45" s="9" t="s">
        <v>32</v>
      </c>
      <c r="I45" s="9" t="s">
        <v>24</v>
      </c>
      <c r="J45" s="9" t="s">
        <v>25</v>
      </c>
      <c r="K45" s="9" t="s">
        <v>98</v>
      </c>
      <c r="L45" s="9" t="s">
        <v>35</v>
      </c>
      <c r="M45" s="9" t="s">
        <v>36</v>
      </c>
      <c r="N45" s="9">
        <v>2010.83</v>
      </c>
      <c r="O45" s="9">
        <v>5</v>
      </c>
      <c r="P45" s="9">
        <v>0.4</v>
      </c>
      <c r="Q45" s="9">
        <v>-421.1</v>
      </c>
    </row>
    <row r="46" spans="1:17" x14ac:dyDescent="0.25">
      <c r="A46" s="9" t="s">
        <v>121</v>
      </c>
      <c r="B46" s="10">
        <v>45941</v>
      </c>
      <c r="C46" s="10">
        <v>45908</v>
      </c>
      <c r="D46" s="9" t="s">
        <v>19</v>
      </c>
      <c r="E46" s="9" t="s">
        <v>69</v>
      </c>
      <c r="F46" s="9" t="s">
        <v>21</v>
      </c>
      <c r="G46" s="9" t="s">
        <v>22</v>
      </c>
      <c r="H46" s="9" t="s">
        <v>46</v>
      </c>
      <c r="I46" s="9" t="s">
        <v>40</v>
      </c>
      <c r="J46" s="9" t="s">
        <v>90</v>
      </c>
      <c r="K46" s="9" t="s">
        <v>100</v>
      </c>
      <c r="L46" s="9" t="s">
        <v>35</v>
      </c>
      <c r="M46" s="9" t="s">
        <v>36</v>
      </c>
      <c r="N46" s="9">
        <v>508.38</v>
      </c>
      <c r="O46" s="9">
        <v>8</v>
      </c>
      <c r="P46" s="9">
        <v>0.1</v>
      </c>
      <c r="Q46" s="9">
        <v>134.93</v>
      </c>
    </row>
    <row r="49" spans="1:6" x14ac:dyDescent="0.25">
      <c r="A49" s="11" t="s">
        <v>122</v>
      </c>
      <c r="B49" s="11"/>
      <c r="C49" s="11"/>
      <c r="D49" s="11"/>
      <c r="E49" s="11"/>
      <c r="F49" s="11"/>
    </row>
    <row r="50" spans="1:6" ht="27.75" customHeight="1" x14ac:dyDescent="0.25">
      <c r="A50" s="5" t="s">
        <v>123</v>
      </c>
      <c r="B50" s="5"/>
      <c r="C50" s="5"/>
      <c r="D50" s="5"/>
      <c r="E50" s="5"/>
      <c r="F50" s="5"/>
    </row>
    <row r="52" spans="1:6" x14ac:dyDescent="0.25">
      <c r="A52" s="11" t="s">
        <v>124</v>
      </c>
      <c r="B52" s="11"/>
      <c r="C52" s="11"/>
      <c r="D52" s="11"/>
      <c r="E52" s="11"/>
      <c r="F52" s="11"/>
    </row>
    <row r="53" spans="1:6" x14ac:dyDescent="0.25">
      <c r="A53" s="12"/>
      <c r="B53" s="12"/>
      <c r="C53" s="12"/>
      <c r="D53" s="12"/>
      <c r="E53" s="12"/>
      <c r="F53" s="12"/>
    </row>
    <row r="54" spans="1:6" ht="30" x14ac:dyDescent="0.25">
      <c r="A54" s="8" t="s">
        <v>10</v>
      </c>
      <c r="B54" s="8" t="s">
        <v>125</v>
      </c>
      <c r="C54" s="8" t="s">
        <v>126</v>
      </c>
    </row>
    <row r="55" spans="1:6" x14ac:dyDescent="0.25">
      <c r="A55" s="9" t="s">
        <v>25</v>
      </c>
      <c r="B55" s="9">
        <f>SUMIF($J$7:$J$47,A55,$N$7:$N$47)</f>
        <v>12539.13</v>
      </c>
      <c r="C55" s="9">
        <f>SUMIF($J$7:$J$47,A55,$Q$7:$Q$47)</f>
        <v>-1209.77</v>
      </c>
    </row>
    <row r="56" spans="1:6" x14ac:dyDescent="0.25">
      <c r="A56" s="9" t="s">
        <v>90</v>
      </c>
      <c r="B56" s="9">
        <f>SUMIF($J$7:$J$47,A56,$N$7:$N$47)</f>
        <v>10855.22</v>
      </c>
      <c r="C56" s="9">
        <f>SUMIF($J$7:$J$47,A56,$Q$7:$Q$47)</f>
        <v>-401.41</v>
      </c>
    </row>
    <row r="57" spans="1:6" x14ac:dyDescent="0.25">
      <c r="A57" s="9" t="s">
        <v>33</v>
      </c>
      <c r="B57" s="9">
        <f>SUMIF($J$7:$J$47,A57,$N$7:$N$47)</f>
        <v>13692.34</v>
      </c>
      <c r="C57" s="9">
        <f>SUMIF($J$7:$J$47,A57,$Q$7:$Q$47)</f>
        <v>590.06999999999994</v>
      </c>
    </row>
    <row r="58" spans="1:6" x14ac:dyDescent="0.25">
      <c r="A58" s="9" t="s">
        <v>41</v>
      </c>
      <c r="B58" s="9">
        <f>SUMIF($J$7:$J$47,A58,$N$7:$N$47)</f>
        <v>18209.240000000002</v>
      </c>
      <c r="C58" s="9">
        <f>SUMIF($J$7:$J$47,A58,$Q$7:$Q$47)</f>
        <v>-172.84000000000003</v>
      </c>
    </row>
    <row r="60" spans="1:6" x14ac:dyDescent="0.25">
      <c r="A60" s="2" t="s">
        <v>127</v>
      </c>
      <c r="B60" s="2" t="str">
        <f>INDEX(A55:A59,MATCH(MAX(C55:C59),C55:C59,0))</f>
        <v>Central</v>
      </c>
    </row>
    <row r="63" spans="1:6" x14ac:dyDescent="0.25">
      <c r="A63" s="13" t="s">
        <v>128</v>
      </c>
      <c r="B63" s="13"/>
      <c r="C63" s="13"/>
      <c r="D63" s="13"/>
      <c r="E63" s="13"/>
      <c r="F63" s="13"/>
    </row>
    <row r="65" spans="1:6" x14ac:dyDescent="0.25">
      <c r="A65" s="13" t="s">
        <v>129</v>
      </c>
      <c r="B65" s="13"/>
      <c r="C65" s="13"/>
      <c r="D65" s="13"/>
      <c r="E65" s="13"/>
      <c r="F65" s="13"/>
    </row>
    <row r="66" spans="1:6" x14ac:dyDescent="0.25">
      <c r="A66" s="14" t="s">
        <v>130</v>
      </c>
      <c r="C66" s="15" t="s">
        <v>131</v>
      </c>
    </row>
    <row r="67" spans="1:6" ht="18" x14ac:dyDescent="0.25">
      <c r="A67" s="3">
        <f>SUM($N$7:$N$47)</f>
        <v>55295.93</v>
      </c>
      <c r="C67" s="3">
        <f>SUM($Q$7:$Q$47)</f>
        <v>-1193.9499999999996</v>
      </c>
    </row>
    <row r="69" spans="1:6" ht="30" x14ac:dyDescent="0.25">
      <c r="A69" s="8" t="s">
        <v>12</v>
      </c>
      <c r="B69" s="8" t="s">
        <v>125</v>
      </c>
    </row>
    <row r="70" spans="1:6" x14ac:dyDescent="0.25">
      <c r="A70" s="9" t="s">
        <v>27</v>
      </c>
      <c r="B70" s="9">
        <f>SUMIF($L$7:$L$47,A70,$N$7:$N$47)</f>
        <v>26058.910000000003</v>
      </c>
    </row>
    <row r="71" spans="1:6" x14ac:dyDescent="0.25">
      <c r="A71" s="9" t="s">
        <v>71</v>
      </c>
      <c r="B71" s="9">
        <f>SUMIF($L$7:$L$47,A71,$N$7:$N$47)</f>
        <v>10351.359999999999</v>
      </c>
    </row>
    <row r="72" spans="1:6" x14ac:dyDescent="0.25">
      <c r="A72" s="9" t="s">
        <v>35</v>
      </c>
      <c r="B72" s="9">
        <f>SUMIF($L$7:$L$47,A72,$N$7:$N$47)</f>
        <v>18885.660000000003</v>
      </c>
    </row>
    <row r="87" spans="1:6" x14ac:dyDescent="0.25">
      <c r="A87" s="13" t="s">
        <v>132</v>
      </c>
      <c r="B87" s="13"/>
      <c r="C87" s="13"/>
      <c r="D87" s="13"/>
      <c r="E87" s="13"/>
      <c r="F87" s="13"/>
    </row>
    <row r="88" spans="1:6" x14ac:dyDescent="0.25">
      <c r="A88" s="16"/>
      <c r="B88" s="16"/>
      <c r="C88" s="16"/>
      <c r="D88" s="16"/>
      <c r="E88" s="16"/>
      <c r="F88" s="16"/>
    </row>
    <row r="89" spans="1:6" ht="30" x14ac:dyDescent="0.25">
      <c r="A89" s="8" t="s">
        <v>13</v>
      </c>
      <c r="B89" s="8" t="s">
        <v>126</v>
      </c>
    </row>
    <row r="90" spans="1:6" x14ac:dyDescent="0.25">
      <c r="A90" s="7" t="s">
        <v>36</v>
      </c>
      <c r="B90" s="7">
        <f t="shared" ref="B90:B98" si="0">SUMIF($M$7:$M$47,A90,$Q$7:$Q$47)</f>
        <v>-295.20999999999998</v>
      </c>
    </row>
    <row r="91" spans="1:6" x14ac:dyDescent="0.25">
      <c r="A91" s="7" t="s">
        <v>76</v>
      </c>
      <c r="B91" s="7">
        <f t="shared" si="0"/>
        <v>1699.88</v>
      </c>
    </row>
    <row r="92" spans="1:6" x14ac:dyDescent="0.25">
      <c r="A92" s="7" t="s">
        <v>64</v>
      </c>
      <c r="B92" s="7">
        <f t="shared" si="0"/>
        <v>-1392.9299999999998</v>
      </c>
    </row>
    <row r="93" spans="1:6" x14ac:dyDescent="0.25">
      <c r="A93" s="7" t="s">
        <v>48</v>
      </c>
      <c r="B93" s="7">
        <f t="shared" si="0"/>
        <v>-888.56000000000006</v>
      </c>
    </row>
    <row r="94" spans="1:6" x14ac:dyDescent="0.25">
      <c r="A94" s="7" t="s">
        <v>96</v>
      </c>
      <c r="B94" s="7">
        <f t="shared" si="0"/>
        <v>-656.03</v>
      </c>
    </row>
    <row r="95" spans="1:6" x14ac:dyDescent="0.25">
      <c r="A95" s="7" t="s">
        <v>103</v>
      </c>
      <c r="B95" s="7">
        <f t="shared" si="0"/>
        <v>-37.28</v>
      </c>
    </row>
    <row r="96" spans="1:6" x14ac:dyDescent="0.25">
      <c r="A96" s="7" t="s">
        <v>43</v>
      </c>
      <c r="B96" s="7">
        <f t="shared" si="0"/>
        <v>-923.14</v>
      </c>
    </row>
    <row r="97" spans="1:4" x14ac:dyDescent="0.25">
      <c r="A97" s="7" t="s">
        <v>72</v>
      </c>
      <c r="B97" s="7">
        <f t="shared" si="0"/>
        <v>-102.27</v>
      </c>
    </row>
    <row r="98" spans="1:4" x14ac:dyDescent="0.25">
      <c r="A98" s="7" t="s">
        <v>28</v>
      </c>
      <c r="B98" s="7">
        <f t="shared" si="0"/>
        <v>1401.5900000000001</v>
      </c>
    </row>
    <row r="100" spans="1:4" ht="27.75" customHeight="1" x14ac:dyDescent="0.25">
      <c r="A100" s="1"/>
      <c r="B100" s="1"/>
      <c r="C100" s="1"/>
      <c r="D100" s="1"/>
    </row>
  </sheetData>
  <mergeCells count="8">
    <mergeCell ref="A65:F65"/>
    <mergeCell ref="A87:F87"/>
    <mergeCell ref="A100:D100"/>
    <mergeCell ref="A3:K3"/>
    <mergeCell ref="A49:F49"/>
    <mergeCell ref="A50:F50"/>
    <mergeCell ref="A52:F52"/>
    <mergeCell ref="A63:F63"/>
  </mergeCells>
  <conditionalFormatting sqref="P7:P47">
    <cfRule type="expression" dxfId="0" priority="1">
      <formula>AND($P7&gt;0.2,$Q7&lt;0)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2026-07-21T10:21:39Z</dcterms:created>
  <dcterms:modified xsi:type="dcterms:W3CDTF">2026-07-21T10:28:51Z</dcterms:modified>
</cp:coreProperties>
</file>