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56665FAB-EC5D-4E9C-AF55-A8E5268CC5EA}" xr6:coauthVersionLast="47" xr6:coauthVersionMax="47" xr10:uidLastSave="{00000000-0000-0000-0000-000000000000}"/>
  <bookViews>
    <workbookView xWindow="-120" yWindow="-120" windowWidth="20730" windowHeight="11160" xr2:uid="{0DCED586-6EAD-4BF6-9368-E1A8C4D6D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39" i="1"/>
  <c r="B40" i="1" s="1"/>
  <c r="C33" i="1"/>
  <c r="C32" i="1"/>
  <c r="C31" i="1"/>
  <c r="C30" i="1"/>
  <c r="B25" i="1"/>
  <c r="B24" i="1"/>
  <c r="B23" i="1"/>
  <c r="B22" i="1"/>
  <c r="B21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B4" i="1"/>
</calcChain>
</file>

<file path=xl/sharedStrings.xml><?xml version="1.0" encoding="utf-8"?>
<sst xmlns="http://schemas.openxmlformats.org/spreadsheetml/2006/main" count="20" uniqueCount="20">
  <si>
    <t>Session 7 - Date &amp; Time Functions</t>
  </si>
  <si>
    <t>TODAY()</t>
  </si>
  <si>
    <t>NOW()</t>
  </si>
  <si>
    <t>Task 2: YEAR / MONTH / DAY of friends' birthdays</t>
  </si>
  <si>
    <t>Birthday</t>
  </si>
  <si>
    <t>YEAR</t>
  </si>
  <si>
    <t>MONTH</t>
  </si>
  <si>
    <t>DAY</t>
  </si>
  <si>
    <t>Task 3: NETWORKDAYS - working days between match date and TODAY()</t>
  </si>
  <si>
    <t>Match Date</t>
  </si>
  <si>
    <t>NETWORKDAYS(Match,TODAY)</t>
  </si>
  <si>
    <t>Task 4: DATEDIF - days taken for Flipkart delivery</t>
  </si>
  <si>
    <t>Order Date</t>
  </si>
  <si>
    <t>Delivery Date</t>
  </si>
  <si>
    <t>Days Taken = DATEDIF(od,dd,"d")</t>
  </si>
  <si>
    <t>Task 5: EOMONTH + DATEDIF('m') - months since Spotify signup</t>
  </si>
  <si>
    <t>Spotify Signup Date</t>
  </si>
  <si>
    <t>Last day of current month = EOMONTH(TODAY(),0)</t>
  </si>
  <si>
    <t>Months since signup = DATEDIF(signup, EOMONTH, "m")</t>
  </si>
  <si>
    <t xml:space="preserve">Task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</si>
</sst>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yy\ hh:mm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/>
    <xf numFmtId="0" fontId="1" fillId="0" borderId="0" xfId="0" applyFont="1"/>
    <xf numFmtId="0" fontId="5" fillId="0" borderId="0" xfId="0" applyFont="1"/>
    <xf numFmtId="0" fontId="5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FB48-1342-4B1A-985B-207F72AF9E32}">
  <dimension ref="A1:F40"/>
  <sheetViews>
    <sheetView tabSelected="1" workbookViewId="0">
      <selection activeCell="C5" sqref="C5"/>
    </sheetView>
  </sheetViews>
  <sheetFormatPr defaultColWidth="8.5703125" defaultRowHeight="15" x14ac:dyDescent="0.25"/>
  <cols>
    <col min="1" max="1" width="50.7109375" bestFit="1" customWidth="1"/>
    <col min="2" max="4" width="20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5.75" x14ac:dyDescent="0.25">
      <c r="A2" s="5"/>
      <c r="B2" s="5"/>
      <c r="C2" s="5"/>
      <c r="D2" s="5"/>
      <c r="E2" s="5"/>
      <c r="F2" s="5"/>
    </row>
    <row r="3" spans="1:6" x14ac:dyDescent="0.25">
      <c r="A3" s="6" t="s">
        <v>19</v>
      </c>
    </row>
    <row r="4" spans="1:6" x14ac:dyDescent="0.25">
      <c r="A4" s="2" t="s">
        <v>1</v>
      </c>
      <c r="B4" s="3">
        <f ca="1">TODAY()</f>
        <v>46224</v>
      </c>
    </row>
    <row r="5" spans="1:6" x14ac:dyDescent="0.25">
      <c r="A5" s="2" t="s">
        <v>2</v>
      </c>
      <c r="B5" s="4">
        <f ca="1">NOW()</f>
        <v>46224.602430555555</v>
      </c>
    </row>
    <row r="8" spans="1:6" x14ac:dyDescent="0.25">
      <c r="A8" s="7" t="s">
        <v>3</v>
      </c>
      <c r="B8" s="7"/>
      <c r="C8" s="7"/>
      <c r="D8" s="7"/>
      <c r="E8" s="7"/>
      <c r="F8" s="7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12" t="s">
        <v>4</v>
      </c>
      <c r="B10" s="12" t="s">
        <v>5</v>
      </c>
      <c r="C10" s="12" t="s">
        <v>6</v>
      </c>
      <c r="D10" s="12" t="s">
        <v>7</v>
      </c>
    </row>
    <row r="11" spans="1:6" x14ac:dyDescent="0.25">
      <c r="A11" s="10">
        <v>37011</v>
      </c>
      <c r="B11" s="11">
        <f>YEAR(A11)</f>
        <v>2001</v>
      </c>
      <c r="C11" s="11">
        <f>MONTH(A11)</f>
        <v>4</v>
      </c>
      <c r="D11" s="11">
        <f>DAY(A11)</f>
        <v>30</v>
      </c>
    </row>
    <row r="12" spans="1:6" x14ac:dyDescent="0.25">
      <c r="A12" s="10">
        <v>36873</v>
      </c>
      <c r="B12" s="11">
        <f>YEAR(A12)</f>
        <v>2000</v>
      </c>
      <c r="C12" s="11">
        <f>MONTH(A12)</f>
        <v>12</v>
      </c>
      <c r="D12" s="11">
        <f>DAY(A12)</f>
        <v>13</v>
      </c>
    </row>
    <row r="13" spans="1:6" x14ac:dyDescent="0.25">
      <c r="A13" s="10">
        <v>36300</v>
      </c>
      <c r="B13" s="11">
        <f>YEAR(A13)</f>
        <v>1999</v>
      </c>
      <c r="C13" s="11">
        <f>MONTH(A13)</f>
        <v>5</v>
      </c>
      <c r="D13" s="11">
        <f>DAY(A13)</f>
        <v>20</v>
      </c>
    </row>
    <row r="14" spans="1:6" x14ac:dyDescent="0.25">
      <c r="A14" s="10">
        <v>38522</v>
      </c>
      <c r="B14" s="11">
        <f>YEAR(A14)</f>
        <v>2005</v>
      </c>
      <c r="C14" s="11">
        <f>MONTH(A14)</f>
        <v>6</v>
      </c>
      <c r="D14" s="11">
        <f>DAY(A14)</f>
        <v>19</v>
      </c>
    </row>
    <row r="15" spans="1:6" x14ac:dyDescent="0.25">
      <c r="A15" s="10">
        <v>37170</v>
      </c>
      <c r="B15" s="11">
        <f>YEAR(A15)</f>
        <v>2001</v>
      </c>
      <c r="C15" s="11">
        <f>MONTH(A15)</f>
        <v>10</v>
      </c>
      <c r="D15" s="11">
        <f>DAY(A15)</f>
        <v>6</v>
      </c>
    </row>
    <row r="18" spans="1:6" x14ac:dyDescent="0.25">
      <c r="A18" s="7" t="s">
        <v>8</v>
      </c>
      <c r="B18" s="7"/>
      <c r="C18" s="7"/>
      <c r="D18" s="7"/>
      <c r="E18" s="7"/>
      <c r="F18" s="7"/>
    </row>
    <row r="19" spans="1:6" x14ac:dyDescent="0.25">
      <c r="A19" s="8"/>
      <c r="B19" s="8"/>
      <c r="C19" s="8"/>
      <c r="D19" s="8"/>
      <c r="E19" s="8"/>
      <c r="F19" s="8"/>
    </row>
    <row r="20" spans="1:6" ht="30" x14ac:dyDescent="0.25">
      <c r="A20" s="12" t="s">
        <v>9</v>
      </c>
      <c r="B20" s="12" t="s">
        <v>10</v>
      </c>
    </row>
    <row r="21" spans="1:6" x14ac:dyDescent="0.25">
      <c r="A21" s="10">
        <v>46204</v>
      </c>
      <c r="B21" s="11">
        <f ca="1">NETWORKDAYS(A21,TODAY())</f>
        <v>15</v>
      </c>
    </row>
    <row r="22" spans="1:6" x14ac:dyDescent="0.25">
      <c r="A22" s="10">
        <v>46207</v>
      </c>
      <c r="B22" s="11">
        <f ca="1">NETWORKDAYS(A22,TODAY())</f>
        <v>12</v>
      </c>
    </row>
    <row r="23" spans="1:6" x14ac:dyDescent="0.25">
      <c r="A23" s="10">
        <v>46215</v>
      </c>
      <c r="B23" s="11">
        <f ca="1">NETWORKDAYS(A23,TODAY())</f>
        <v>7</v>
      </c>
    </row>
    <row r="24" spans="1:6" x14ac:dyDescent="0.25">
      <c r="A24" s="10">
        <v>46228</v>
      </c>
      <c r="B24" s="11">
        <f ca="1">NETWORKDAYS(A24,TODAY())</f>
        <v>-4</v>
      </c>
    </row>
    <row r="25" spans="1:6" x14ac:dyDescent="0.25">
      <c r="A25" s="10">
        <v>46232</v>
      </c>
      <c r="B25" s="11">
        <f ca="1">NETWORKDAYS(A25,TODAY())</f>
        <v>-7</v>
      </c>
    </row>
    <row r="28" spans="1:6" x14ac:dyDescent="0.25">
      <c r="A28" s="7" t="s">
        <v>11</v>
      </c>
      <c r="B28" s="7"/>
      <c r="C28" s="7"/>
      <c r="D28" s="7"/>
      <c r="E28" s="7"/>
      <c r="F28" s="7"/>
    </row>
    <row r="29" spans="1:6" ht="45" x14ac:dyDescent="0.25">
      <c r="A29" s="12" t="s">
        <v>12</v>
      </c>
      <c r="B29" s="12" t="s">
        <v>13</v>
      </c>
      <c r="C29" s="12" t="s">
        <v>14</v>
      </c>
    </row>
    <row r="30" spans="1:6" x14ac:dyDescent="0.25">
      <c r="A30" s="10">
        <v>46174</v>
      </c>
      <c r="B30" s="10">
        <v>46178</v>
      </c>
      <c r="C30" s="11">
        <f>DATEDIF(A30,B30,"d")</f>
        <v>4</v>
      </c>
    </row>
    <row r="31" spans="1:6" x14ac:dyDescent="0.25">
      <c r="A31" s="10">
        <v>46183</v>
      </c>
      <c r="B31" s="10">
        <v>46187</v>
      </c>
      <c r="C31" s="11">
        <f>DATEDIF(A31,B31,"d")</f>
        <v>4</v>
      </c>
    </row>
    <row r="32" spans="1:6" x14ac:dyDescent="0.25">
      <c r="A32" s="10">
        <v>46193</v>
      </c>
      <c r="B32" s="10">
        <v>46194</v>
      </c>
      <c r="C32" s="11">
        <f>DATEDIF(A32,B32,"d")</f>
        <v>1</v>
      </c>
    </row>
    <row r="33" spans="1:6" x14ac:dyDescent="0.25">
      <c r="A33" s="10">
        <v>46204</v>
      </c>
      <c r="B33" s="10">
        <v>46212</v>
      </c>
      <c r="C33" s="11">
        <f>DATEDIF(A33,B33,"d")</f>
        <v>8</v>
      </c>
    </row>
    <row r="36" spans="1:6" x14ac:dyDescent="0.25">
      <c r="A36" s="7" t="s">
        <v>15</v>
      </c>
      <c r="B36" s="7"/>
      <c r="C36" s="7"/>
      <c r="D36" s="7"/>
      <c r="E36" s="7"/>
      <c r="F36" s="7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9" t="s">
        <v>16</v>
      </c>
      <c r="B38" s="3">
        <v>45819</v>
      </c>
    </row>
    <row r="39" spans="1:6" x14ac:dyDescent="0.25">
      <c r="A39" s="9" t="s">
        <v>17</v>
      </c>
      <c r="B39" s="3">
        <f ca="1">EOMONTH(TODAY(),0)</f>
        <v>46234</v>
      </c>
    </row>
    <row r="40" spans="1:6" x14ac:dyDescent="0.25">
      <c r="A40" s="9" t="s">
        <v>18</v>
      </c>
      <c r="B40" s="9">
        <f ca="1">DATEDIF(B38,B39,"m")</f>
        <v>13</v>
      </c>
    </row>
  </sheetData>
  <mergeCells count="5">
    <mergeCell ref="A1:F1"/>
    <mergeCell ref="A8:F8"/>
    <mergeCell ref="A18:F18"/>
    <mergeCell ref="A28:F28"/>
    <mergeCell ref="A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2026-07-21T08:48:55Z</dcterms:created>
  <dcterms:modified xsi:type="dcterms:W3CDTF">2026-07-21T08:57:41Z</dcterms:modified>
</cp:coreProperties>
</file>