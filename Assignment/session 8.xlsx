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84095582-2B77-498D-B44A-03A60329289F}" xr6:coauthVersionLast="47" xr6:coauthVersionMax="47" xr10:uidLastSave="{00000000-0000-0000-0000-000000000000}"/>
  <bookViews>
    <workbookView xWindow="-120" yWindow="-120" windowWidth="20730" windowHeight="11160" xr2:uid="{E4217E5E-E707-4275-85C0-80991F826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8" i="1" l="1"/>
  <c r="A48" i="1"/>
  <c r="C48" i="1" s="1"/>
  <c r="B47" i="1"/>
  <c r="A47" i="1"/>
  <c r="C47" i="1" s="1"/>
  <c r="B46" i="1"/>
  <c r="A46" i="1"/>
  <c r="C46" i="1" s="1"/>
  <c r="B45" i="1"/>
  <c r="A45" i="1"/>
  <c r="C45" i="1" s="1"/>
  <c r="C39" i="1"/>
  <c r="B39" i="1"/>
  <c r="D39" i="1" s="1"/>
  <c r="C38" i="1"/>
  <c r="B38" i="1"/>
  <c r="D38" i="1" s="1"/>
  <c r="C37" i="1"/>
  <c r="B37" i="1"/>
  <c r="D37" i="1" s="1"/>
  <c r="C36" i="1"/>
  <c r="B36" i="1"/>
  <c r="D36" i="1" s="1"/>
  <c r="C30" i="1"/>
  <c r="C29" i="1"/>
  <c r="C28" i="1"/>
  <c r="C27" i="1"/>
  <c r="C21" i="1"/>
  <c r="C20" i="1"/>
  <c r="C19" i="1"/>
  <c r="C18" i="1"/>
  <c r="C17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<sst xmlns="http://schemas.openxmlformats.org/spreadsheetml/2006/main" count="38" uniqueCount="34">
  <si>
    <t>Session 8 - Logical Functions (IF, Nested IF, AND, OR, XOR)</t>
  </si>
  <si>
    <t>Task 1: IF - High Value (&gt;=500) vs Regular</t>
  </si>
  <si>
    <t>Order Amount</t>
  </si>
  <si>
    <t>IF(A&gt;=500,"High Value","Regular")</t>
  </si>
  <si>
    <t>Task 2: Nested IF - player rating by total runs</t>
  </si>
  <si>
    <t>Player</t>
  </si>
  <si>
    <t>Total Runs</t>
  </si>
  <si>
    <t>Rating (nested IF)</t>
  </si>
  <si>
    <t>V. Kohli</t>
  </si>
  <si>
    <t>R. Sharma</t>
  </si>
  <si>
    <t>H. Pandya</t>
  </si>
  <si>
    <t>Task 3: AND + IF - Eligible (Prepaid AND Delivered)</t>
  </si>
  <si>
    <t>Payment Method</t>
  </si>
  <si>
    <t>Order Status</t>
  </si>
  <si>
    <t>Eligible? (AND+IF)</t>
  </si>
  <si>
    <t>Prepaid</t>
  </si>
  <si>
    <t>Delivered</t>
  </si>
  <si>
    <t>COD</t>
  </si>
  <si>
    <t>Shipped</t>
  </si>
  <si>
    <t>Task 4: OR + IF - Quick Access (Downloaded OR Favorite)</t>
  </si>
  <si>
    <t>Song</t>
  </si>
  <si>
    <t>Is Downloaded</t>
  </si>
  <si>
    <t>Is Favorite</t>
  </si>
  <si>
    <t>Access (OR+IF)</t>
  </si>
  <si>
    <t>Tum Hi Ho</t>
  </si>
  <si>
    <t>Task 5: XOR + IF - Suspicious (exactly one of: new address, cash payment)</t>
  </si>
  <si>
    <t>New Address?</t>
  </si>
  <si>
    <t>Cash Payment?</t>
  </si>
  <si>
    <t>Flag (XOR+IF)</t>
  </si>
  <si>
    <t>S.gill</t>
  </si>
  <si>
    <t>R.pant</t>
  </si>
  <si>
    <t>Tum Bin</t>
  </si>
  <si>
    <t>Barish</t>
  </si>
  <si>
    <t>Blue 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</si>
</sst>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charset val="1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39DC-8F78-466D-A6C7-47E5D2294143}">
  <dimension ref="A1:F48"/>
  <sheetViews>
    <sheetView tabSelected="1" workbookViewId="0">
      <selection activeCell="D5" sqref="D5"/>
    </sheetView>
  </sheetViews>
  <sheetFormatPr defaultColWidth="8.5703125" defaultRowHeight="15" x14ac:dyDescent="0.25"/>
  <cols>
    <col min="1" max="1" width="18" customWidth="1"/>
    <col min="2" max="2" width="17.42578125" bestFit="1" customWidth="1"/>
    <col min="3" max="4" width="18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3" spans="1:6" x14ac:dyDescent="0.25">
      <c r="A3" s="3" t="s">
        <v>1</v>
      </c>
      <c r="B3" s="3"/>
      <c r="C3" s="3"/>
      <c r="D3" s="3"/>
      <c r="E3" s="3"/>
      <c r="F3" s="3"/>
    </row>
    <row r="4" spans="1:6" x14ac:dyDescent="0.25">
      <c r="A4" s="4"/>
      <c r="B4" s="4"/>
      <c r="C4" s="4"/>
      <c r="D4" s="4"/>
      <c r="E4" s="4"/>
      <c r="F4" s="4"/>
    </row>
    <row r="5" spans="1:6" ht="45" x14ac:dyDescent="0.25">
      <c r="A5" s="7" t="s">
        <v>2</v>
      </c>
      <c r="B5" s="7" t="s">
        <v>3</v>
      </c>
    </row>
    <row r="6" spans="1:6" x14ac:dyDescent="0.25">
      <c r="A6" s="6">
        <v>555</v>
      </c>
      <c r="B6" s="6" t="str">
        <f>IF(A6&gt;=500,"High Value","Regular")</f>
        <v>High Value</v>
      </c>
    </row>
    <row r="7" spans="1:6" x14ac:dyDescent="0.25">
      <c r="A7" s="6">
        <v>333</v>
      </c>
      <c r="B7" s="6" t="str">
        <f>IF(A7&gt;=500,"High Value","Regular")</f>
        <v>Regular</v>
      </c>
    </row>
    <row r="8" spans="1:6" x14ac:dyDescent="0.25">
      <c r="A8" s="6">
        <v>500</v>
      </c>
      <c r="B8" s="6" t="str">
        <f>IF(A8&gt;=500,"High Value","Regular")</f>
        <v>High Value</v>
      </c>
    </row>
    <row r="9" spans="1:6" x14ac:dyDescent="0.25">
      <c r="A9" s="6">
        <v>5222</v>
      </c>
      <c r="B9" s="6" t="str">
        <f>IF(A9&gt;=500,"High Value","Regular")</f>
        <v>High Value</v>
      </c>
    </row>
    <row r="10" spans="1:6" x14ac:dyDescent="0.25">
      <c r="A10" s="6">
        <v>125</v>
      </c>
      <c r="B10" s="6" t="str">
        <f>IF(A10&gt;=500,"High Value","Regular")</f>
        <v>Regular</v>
      </c>
    </row>
    <row r="14" spans="1:6" x14ac:dyDescent="0.25">
      <c r="A14" s="3" t="s">
        <v>4</v>
      </c>
      <c r="B14" s="3"/>
      <c r="C14" s="3"/>
      <c r="D14" s="3"/>
      <c r="E14" s="3"/>
      <c r="F14" s="3"/>
    </row>
    <row r="15" spans="1:6" x14ac:dyDescent="0.25">
      <c r="A15" s="4"/>
      <c r="B15" s="4"/>
      <c r="C15" s="4"/>
      <c r="D15" s="4"/>
      <c r="E15" s="4"/>
      <c r="F15" s="4"/>
    </row>
    <row r="16" spans="1:6" ht="30" x14ac:dyDescent="0.25">
      <c r="A16" s="7" t="s">
        <v>5</v>
      </c>
      <c r="B16" s="7" t="s">
        <v>6</v>
      </c>
      <c r="C16" s="7" t="s">
        <v>7</v>
      </c>
    </row>
    <row r="17" spans="1:6" x14ac:dyDescent="0.25">
      <c r="A17" s="6" t="s">
        <v>8</v>
      </c>
      <c r="B17" s="6">
        <v>1145</v>
      </c>
      <c r="C17" s="6" t="str">
        <f>IF(B17&gt;=1000,"Star",IF(B17&gt;=700,"Pro",IF(B17&gt;=400,"Rising","Newbie")))</f>
        <v>Star</v>
      </c>
    </row>
    <row r="18" spans="1:6" x14ac:dyDescent="0.25">
      <c r="A18" s="6" t="s">
        <v>9</v>
      </c>
      <c r="B18" s="6">
        <v>820</v>
      </c>
      <c r="C18" s="6" t="str">
        <f>IF(B18&gt;=1000,"Star",IF(B18&gt;=700,"Pro",IF(B18&gt;=400,"Rising","Newbie")))</f>
        <v>Pro</v>
      </c>
    </row>
    <row r="19" spans="1:6" x14ac:dyDescent="0.25">
      <c r="A19" s="8" t="s">
        <v>29</v>
      </c>
      <c r="B19" s="6">
        <v>700</v>
      </c>
      <c r="C19" s="6" t="str">
        <f>IF(B19&gt;=1000,"Star",IF(B19&gt;=700,"Pro",IF(B19&gt;=400,"Rising","Newbie")))</f>
        <v>Pro</v>
      </c>
    </row>
    <row r="20" spans="1:6" x14ac:dyDescent="0.25">
      <c r="A20" s="8" t="s">
        <v>30</v>
      </c>
      <c r="B20" s="6">
        <v>300</v>
      </c>
      <c r="C20" s="6" t="str">
        <f>IF(B20&gt;=1000,"Star",IF(B20&gt;=700,"Pro",IF(B20&gt;=400,"Rising","Newbie")))</f>
        <v>Newbie</v>
      </c>
    </row>
    <row r="21" spans="1:6" x14ac:dyDescent="0.25">
      <c r="A21" s="6" t="s">
        <v>10</v>
      </c>
      <c r="B21" s="6">
        <v>990</v>
      </c>
      <c r="C21" s="6" t="str">
        <f>IF(B21&gt;=1000,"Star",IF(B21&gt;=700,"Pro",IF(B21&gt;=400,"Rising","Newbie")))</f>
        <v>Pro</v>
      </c>
    </row>
    <row r="24" spans="1:6" x14ac:dyDescent="0.25">
      <c r="A24" s="3" t="s">
        <v>11</v>
      </c>
      <c r="B24" s="3"/>
      <c r="C24" s="3"/>
      <c r="D24" s="3"/>
      <c r="E24" s="3"/>
      <c r="F24" s="3"/>
    </row>
    <row r="25" spans="1:6" x14ac:dyDescent="0.25">
      <c r="A25" s="4"/>
      <c r="B25" s="4"/>
      <c r="C25" s="4"/>
      <c r="D25" s="4"/>
      <c r="E25" s="4"/>
      <c r="F25" s="4"/>
    </row>
    <row r="26" spans="1:6" ht="30" x14ac:dyDescent="0.25">
      <c r="A26" s="7" t="s">
        <v>12</v>
      </c>
      <c r="B26" s="7" t="s">
        <v>13</v>
      </c>
      <c r="C26" s="7" t="s">
        <v>14</v>
      </c>
    </row>
    <row r="27" spans="1:6" x14ac:dyDescent="0.25">
      <c r="A27" s="5" t="s">
        <v>15</v>
      </c>
      <c r="B27" s="5" t="s">
        <v>16</v>
      </c>
      <c r="C27" s="5" t="str">
        <f>IF(AND(A27="Prepaid",B27="Delivered"),"Eligible","Not Eligible")</f>
        <v>Eligible</v>
      </c>
    </row>
    <row r="28" spans="1:6" x14ac:dyDescent="0.25">
      <c r="A28" s="5" t="s">
        <v>17</v>
      </c>
      <c r="B28" s="5" t="s">
        <v>16</v>
      </c>
      <c r="C28" s="5" t="str">
        <f>IF(AND(A28="Prepaid",B28="Delivered"),"Eligible","Not Eligible")</f>
        <v>Not Eligible</v>
      </c>
    </row>
    <row r="29" spans="1:6" x14ac:dyDescent="0.25">
      <c r="A29" s="5" t="s">
        <v>15</v>
      </c>
      <c r="B29" s="5" t="s">
        <v>18</v>
      </c>
      <c r="C29" s="5" t="str">
        <f>IF(AND(A29="Prepaid",B29="Delivered"),"Eligible","Not Eligible")</f>
        <v>Not Eligible</v>
      </c>
    </row>
    <row r="30" spans="1:6" x14ac:dyDescent="0.25">
      <c r="A30" s="5" t="s">
        <v>15</v>
      </c>
      <c r="B30" s="5" t="s">
        <v>16</v>
      </c>
      <c r="C30" s="5" t="str">
        <f>IF(AND(A30="Prepaid",B30="Delivered"),"Eligible","Not Eligible")</f>
        <v>Eligible</v>
      </c>
    </row>
    <row r="33" spans="1:6" x14ac:dyDescent="0.25">
      <c r="A33" s="3" t="s">
        <v>19</v>
      </c>
      <c r="B33" s="3"/>
      <c r="C33" s="3"/>
      <c r="D33" s="3"/>
      <c r="E33" s="3"/>
      <c r="F33" s="3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7" t="s">
        <v>20</v>
      </c>
      <c r="B35" s="7" t="s">
        <v>21</v>
      </c>
      <c r="C35" s="7" t="s">
        <v>22</v>
      </c>
      <c r="D35" s="7" t="s">
        <v>23</v>
      </c>
    </row>
    <row r="36" spans="1:6" x14ac:dyDescent="0.25">
      <c r="A36" s="9" t="s">
        <v>31</v>
      </c>
      <c r="B36" s="5" t="b">
        <f>TRUE()</f>
        <v>1</v>
      </c>
      <c r="C36" s="5" t="b">
        <f>FALSE()</f>
        <v>0</v>
      </c>
      <c r="D36" s="5" t="str">
        <f>IF(OR(B36,C36),"Quick Access","Standard")</f>
        <v>Quick Access</v>
      </c>
    </row>
    <row r="37" spans="1:6" x14ac:dyDescent="0.25">
      <c r="A37" s="9" t="s">
        <v>32</v>
      </c>
      <c r="B37" s="5" t="b">
        <f>FALSE()</f>
        <v>0</v>
      </c>
      <c r="C37" s="5" t="b">
        <f>FALSE()</f>
        <v>0</v>
      </c>
      <c r="D37" s="5" t="str">
        <f>IF(OR(B37,C37),"Quick Access","Standard")</f>
        <v>Standard</v>
      </c>
    </row>
    <row r="38" spans="1:6" x14ac:dyDescent="0.25">
      <c r="A38" s="5" t="s">
        <v>24</v>
      </c>
      <c r="B38" s="5" t="b">
        <f>FALSE()</f>
        <v>0</v>
      </c>
      <c r="C38" s="5" t="b">
        <f>TRUE()</f>
        <v>1</v>
      </c>
      <c r="D38" s="5" t="str">
        <f>IF(OR(B38,C38),"Quick Access","Standard")</f>
        <v>Quick Access</v>
      </c>
    </row>
    <row r="39" spans="1:6" x14ac:dyDescent="0.25">
      <c r="A39" s="9" t="s">
        <v>33</v>
      </c>
      <c r="B39" s="5" t="b">
        <f>TRUE()</f>
        <v>1</v>
      </c>
      <c r="C39" s="5" t="b">
        <f>TRUE()</f>
        <v>1</v>
      </c>
      <c r="D39" s="5" t="str">
        <f>IF(OR(B39,C39),"Quick Access","Standard")</f>
        <v>Quick Access</v>
      </c>
    </row>
    <row r="42" spans="1:6" x14ac:dyDescent="0.25">
      <c r="A42" s="3" t="s">
        <v>25</v>
      </c>
      <c r="B42" s="3"/>
      <c r="C42" s="3"/>
      <c r="D42" s="3"/>
      <c r="E42" s="3"/>
      <c r="F42" s="3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10" t="s">
        <v>26</v>
      </c>
      <c r="B44" s="10" t="s">
        <v>27</v>
      </c>
      <c r="C44" s="10" t="s">
        <v>28</v>
      </c>
    </row>
    <row r="45" spans="1:6" x14ac:dyDescent="0.25">
      <c r="A45" s="1" t="b">
        <f>TRUE()</f>
        <v>1</v>
      </c>
      <c r="B45" s="1" t="b">
        <f>FALSE()</f>
        <v>0</v>
      </c>
      <c r="C45" s="1" t="str">
        <f>IF(_xlfn.XOR(A45,B45),"Suspicious","Normal")</f>
        <v>Suspicious</v>
      </c>
    </row>
    <row r="46" spans="1:6" x14ac:dyDescent="0.25">
      <c r="A46" s="1" t="b">
        <f>TRUE()</f>
        <v>1</v>
      </c>
      <c r="B46" s="1" t="b">
        <f>TRUE()</f>
        <v>1</v>
      </c>
      <c r="C46" s="1" t="str">
        <f>IF(_xlfn.XOR(A46,B46),"Suspicious","Normal")</f>
        <v>Normal</v>
      </c>
    </row>
    <row r="47" spans="1:6" x14ac:dyDescent="0.25">
      <c r="A47" s="1" t="b">
        <f>FALSE()</f>
        <v>0</v>
      </c>
      <c r="B47" s="1" t="b">
        <f>FALSE()</f>
        <v>0</v>
      </c>
      <c r="C47" s="1" t="str">
        <f>IF(_xlfn.XOR(A47,B47),"Suspicious","Normal")</f>
        <v>Normal</v>
      </c>
    </row>
    <row r="48" spans="1:6" x14ac:dyDescent="0.25">
      <c r="A48" s="1" t="b">
        <f>FALSE()</f>
        <v>0</v>
      </c>
      <c r="B48" s="1" t="b">
        <f>TRUE()</f>
        <v>1</v>
      </c>
      <c r="C48" s="1" t="str">
        <f>IF(_xlfn.XOR(A48,B48),"Suspicious","Normal")</f>
        <v>Suspicious</v>
      </c>
    </row>
  </sheetData>
  <mergeCells count="6">
    <mergeCell ref="A1:F1"/>
    <mergeCell ref="A3:F3"/>
    <mergeCell ref="A14:F14"/>
    <mergeCell ref="A24:F24"/>
    <mergeCell ref="A33:F33"/>
    <mergeCell ref="A42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2026-07-21T08:58:30Z</dcterms:created>
  <dcterms:modified xsi:type="dcterms:W3CDTF">2026-07-21T09:05:40Z</dcterms:modified>
</cp:coreProperties>
</file>