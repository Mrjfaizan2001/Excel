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3DF48998-E148-4A94-88D6-0C598564FFBF}" xr6:coauthVersionLast="47" xr6:coauthVersionMax="47" xr10:uidLastSave="{00000000-0000-0000-0000-000000000000}"/>
  <bookViews>
    <workbookView xWindow="-120" yWindow="-120" windowWidth="20730" windowHeight="11160" xr2:uid="{3D1D8E21-AD00-4396-A242-90AEA8021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0" i="1" l="1"/>
  <c r="B28" i="1"/>
  <c r="B19" i="1"/>
</calcChain>
</file>

<file path=xl/sharedStrings.xml><?xml version="1.0" encoding="utf-8"?>
<sst xmlns="http://schemas.openxmlformats.org/spreadsheetml/2006/main" count="70" uniqueCount="66">
  <si>
    <t>Session 9 - Lookup Functions (VLOOKUP, HLOOKUP)</t>
  </si>
  <si>
    <t>Task 1: VLOOKUP - product price lookup</t>
  </si>
  <si>
    <t>Product Name</t>
  </si>
  <si>
    <t>Price</t>
  </si>
  <si>
    <t>Wireless Earbuds</t>
  </si>
  <si>
    <t>Smart Watch</t>
  </si>
  <si>
    <t>Laptop Bag</t>
  </si>
  <si>
    <t>Bluetooth Speaker</t>
  </si>
  <si>
    <t>Phone Cover</t>
  </si>
  <si>
    <t>Power Bank</t>
  </si>
  <si>
    <t>Gaming Mouse</t>
  </si>
  <si>
    <t>USB-C Cable</t>
  </si>
  <si>
    <t>Study Lamp</t>
  </si>
  <si>
    <t>Air Fryer</t>
  </si>
  <si>
    <t>Search Product:</t>
  </si>
  <si>
    <t>Price (VLOOKUP exact match):</t>
  </si>
  <si>
    <t>Task 2: HLOOKUP - Zomato-style dish ratings (horizontal)</t>
  </si>
  <si>
    <t>Paneer Tikka</t>
  </si>
  <si>
    <t>Butter Chicken</t>
  </si>
  <si>
    <t>Veg Biryani</t>
  </si>
  <si>
    <t>Chicken Momos</t>
  </si>
  <si>
    <t>Masala Dosa</t>
  </si>
  <si>
    <t>Pav Bhaji</t>
  </si>
  <si>
    <t>Chole Bhature</t>
  </si>
  <si>
    <t>Hakka Noodles</t>
  </si>
  <si>
    <t>Search Dish:</t>
  </si>
  <si>
    <t>Rating (HLOOKUP):</t>
  </si>
  <si>
    <t>Task 3: VLOOKUP approximate match (TRUE) - risk of wrong results</t>
  </si>
  <si>
    <t>Username</t>
  </si>
  <si>
    <t>Mobile Number</t>
  </si>
  <si>
    <t>9876500001</t>
  </si>
  <si>
    <t>Diya Mehta</t>
  </si>
  <si>
    <t>9876500002</t>
  </si>
  <si>
    <t>Kabir Patel</t>
  </si>
  <si>
    <t>9876500003</t>
  </si>
  <si>
    <t>Myra Joshi</t>
  </si>
  <si>
    <t>9876500004</t>
  </si>
  <si>
    <t>Vihaan Desai</t>
  </si>
  <si>
    <t>9876500005</t>
  </si>
  <si>
    <t>Anaya Trivedi</t>
  </si>
  <si>
    <t>9876500006</t>
  </si>
  <si>
    <t>Reyansh Rao</t>
  </si>
  <si>
    <t>9876500007</t>
  </si>
  <si>
    <t>Saanvi Iyer</t>
  </si>
  <si>
    <t>9876500008</t>
  </si>
  <si>
    <t>Arjun Nair</t>
  </si>
  <si>
    <t>9876500009</t>
  </si>
  <si>
    <t>Ira Kapoor</t>
  </si>
  <si>
    <t>9876500010</t>
  </si>
  <si>
    <t>Yuvraj Singh</t>
  </si>
  <si>
    <t>9876500011</t>
  </si>
  <si>
    <t>Zara Khan</t>
  </si>
  <si>
    <t>9876500012</t>
  </si>
  <si>
    <t>Search (misspelled) 'Kabeer Patel':</t>
  </si>
  <si>
    <t>Approx match result:</t>
  </si>
  <si>
    <t>With range_lookup=TRUE, VLOOKUP requires the lookup column sorted ascending and returns the closest match less than or equal to the search value - NOT an exact/fuzzy text match. Since names aren't numeric/sorted the same way, this can silently return a completely wrong row instead of an error. Always use FALSE for text lookups.</t>
  </si>
  <si>
    <t>Task 4: VLOOKUP limitation - lookup column must be leftmost</t>
  </si>
  <si>
    <t>Discount</t>
  </si>
  <si>
    <t>10%</t>
  </si>
  <si>
    <t>5%</t>
  </si>
  <si>
    <t>15%</t>
  </si>
  <si>
    <t>VLOOKUP("Smart Watch", A:C, 3, FALSE) fails here with an N-slash-A error because 'Product Name' (the lookup value) is no longer the leftmost column - it's now column B while Discount is A. VLOOKUP can only look to the RIGHT of its first column. This is exactly the limitation Session 10-11 solve with XLOOKUP / INDEX-MATCH.</t>
  </si>
  <si>
    <t>Ear Buds</t>
  </si>
  <si>
    <t>Watch</t>
  </si>
  <si>
    <t>Bag</t>
  </si>
  <si>
    <t>Faizan Maraj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</si>
</sst>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Fill="1"/>
    <xf numFmtId="0" fontId="4" fillId="0" borderId="0" xfId="0" applyFont="1" applyFill="1"/>
    <xf numFmtId="0" fontId="1" fillId="0" borderId="1" xfId="0" applyFont="1" applyBorder="1"/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0" borderId="0" xfId="0" applyFont="1"/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9ECA-9341-4A0F-BF4B-28082CC234AF}">
  <dimension ref="A1:H61"/>
  <sheetViews>
    <sheetView tabSelected="1" workbookViewId="0">
      <selection activeCell="E5" sqref="E5"/>
    </sheetView>
  </sheetViews>
  <sheetFormatPr defaultColWidth="8.5703125" defaultRowHeight="15" x14ac:dyDescent="0.25"/>
  <cols>
    <col min="1" max="1" width="22" customWidth="1"/>
    <col min="2" max="4" width="16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3" spans="1:6" x14ac:dyDescent="0.25">
      <c r="A3" s="4" t="s">
        <v>1</v>
      </c>
      <c r="B3" s="4"/>
      <c r="C3" s="4"/>
      <c r="D3" s="4"/>
      <c r="E3" s="4"/>
      <c r="F3" s="4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7" t="s">
        <v>2</v>
      </c>
      <c r="B5" s="7" t="s">
        <v>3</v>
      </c>
    </row>
    <row r="6" spans="1:6" x14ac:dyDescent="0.25">
      <c r="A6" s="6" t="s">
        <v>62</v>
      </c>
      <c r="B6" s="6">
        <v>2500</v>
      </c>
    </row>
    <row r="7" spans="1:6" x14ac:dyDescent="0.25">
      <c r="A7" s="6" t="s">
        <v>63</v>
      </c>
      <c r="B7" s="6">
        <v>2999</v>
      </c>
    </row>
    <row r="8" spans="1:6" x14ac:dyDescent="0.25">
      <c r="A8" s="6" t="s">
        <v>64</v>
      </c>
      <c r="B8" s="6">
        <v>899</v>
      </c>
    </row>
    <row r="9" spans="1:6" x14ac:dyDescent="0.25">
      <c r="A9" s="6" t="s">
        <v>7</v>
      </c>
      <c r="B9" s="6">
        <v>1799</v>
      </c>
    </row>
    <row r="10" spans="1:6" x14ac:dyDescent="0.25">
      <c r="A10" s="6" t="s">
        <v>8</v>
      </c>
      <c r="B10" s="6">
        <v>249</v>
      </c>
    </row>
    <row r="11" spans="1:6" x14ac:dyDescent="0.25">
      <c r="A11" s="6" t="s">
        <v>9</v>
      </c>
      <c r="B11" s="6">
        <v>1199</v>
      </c>
    </row>
    <row r="12" spans="1:6" x14ac:dyDescent="0.25">
      <c r="A12" s="6" t="s">
        <v>10</v>
      </c>
      <c r="B12" s="6">
        <v>699</v>
      </c>
    </row>
    <row r="13" spans="1:6" x14ac:dyDescent="0.25">
      <c r="A13" s="6" t="s">
        <v>11</v>
      </c>
      <c r="B13" s="6">
        <v>299</v>
      </c>
    </row>
    <row r="14" spans="1:6" x14ac:dyDescent="0.25">
      <c r="A14" s="6" t="s">
        <v>12</v>
      </c>
      <c r="B14" s="6">
        <v>649</v>
      </c>
    </row>
    <row r="15" spans="1:6" x14ac:dyDescent="0.25">
      <c r="A15" s="6" t="s">
        <v>13</v>
      </c>
      <c r="B15" s="6">
        <v>4999</v>
      </c>
    </row>
    <row r="18" spans="1:8" x14ac:dyDescent="0.25">
      <c r="A18" s="9" t="s">
        <v>14</v>
      </c>
      <c r="B18" s="8" t="s">
        <v>62</v>
      </c>
    </row>
    <row r="19" spans="1:8" x14ac:dyDescent="0.25">
      <c r="A19" s="9" t="s">
        <v>15</v>
      </c>
      <c r="B19" s="1">
        <f>VLOOKUP(B18,A6:B16,2,FALSE())</f>
        <v>2500</v>
      </c>
    </row>
    <row r="22" spans="1:8" x14ac:dyDescent="0.25">
      <c r="A22" s="10" t="s">
        <v>16</v>
      </c>
      <c r="B22" s="10"/>
      <c r="C22" s="10"/>
      <c r="D22" s="10"/>
      <c r="E22" s="10"/>
      <c r="F22" s="10"/>
    </row>
    <row r="23" spans="1:8" x14ac:dyDescent="0.25">
      <c r="A23" s="11"/>
      <c r="B23" s="11"/>
      <c r="C23" s="11"/>
      <c r="D23" s="11"/>
      <c r="E23" s="11"/>
      <c r="F23" s="11"/>
    </row>
    <row r="24" spans="1:8" x14ac:dyDescent="0.25">
      <c r="A24" s="12" t="s">
        <v>17</v>
      </c>
      <c r="B24" s="12" t="s">
        <v>18</v>
      </c>
      <c r="C24" s="12" t="s">
        <v>19</v>
      </c>
      <c r="D24" s="12" t="s">
        <v>20</v>
      </c>
      <c r="E24" s="12" t="s">
        <v>21</v>
      </c>
      <c r="F24" s="12" t="s">
        <v>22</v>
      </c>
      <c r="G24" s="12" t="s">
        <v>23</v>
      </c>
      <c r="H24" s="12" t="s">
        <v>24</v>
      </c>
    </row>
    <row r="25" spans="1:8" x14ac:dyDescent="0.25">
      <c r="A25" s="6">
        <v>4.3</v>
      </c>
      <c r="B25" s="6">
        <v>4.5999999999999996</v>
      </c>
      <c r="C25" s="6">
        <v>4.0999999999999996</v>
      </c>
      <c r="D25" s="6">
        <v>4.4000000000000004</v>
      </c>
      <c r="E25" s="6">
        <v>4.2</v>
      </c>
      <c r="F25" s="6">
        <v>4.5</v>
      </c>
      <c r="G25" s="6">
        <v>4</v>
      </c>
      <c r="H25" s="6">
        <v>4.3</v>
      </c>
    </row>
    <row r="27" spans="1:8" x14ac:dyDescent="0.25">
      <c r="A27" s="9" t="s">
        <v>25</v>
      </c>
      <c r="B27" s="1" t="s">
        <v>24</v>
      </c>
    </row>
    <row r="28" spans="1:8" x14ac:dyDescent="0.25">
      <c r="A28" s="9" t="s">
        <v>26</v>
      </c>
      <c r="B28" s="1">
        <f>HLOOKUP(B27,A24:H25,2,FALSE())</f>
        <v>4.3</v>
      </c>
    </row>
    <row r="32" spans="1:8" x14ac:dyDescent="0.25">
      <c r="A32" s="10" t="s">
        <v>27</v>
      </c>
      <c r="B32" s="10"/>
      <c r="C32" s="10"/>
      <c r="D32" s="10"/>
      <c r="E32" s="10"/>
      <c r="F32" s="10"/>
    </row>
    <row r="33" spans="1:6" x14ac:dyDescent="0.25">
      <c r="A33" s="11"/>
      <c r="B33" s="11"/>
      <c r="C33" s="11"/>
      <c r="D33" s="11"/>
      <c r="E33" s="11"/>
      <c r="F33" s="11"/>
    </row>
    <row r="34" spans="1:6" x14ac:dyDescent="0.25">
      <c r="A34" s="7" t="s">
        <v>28</v>
      </c>
      <c r="B34" s="13" t="s">
        <v>29</v>
      </c>
    </row>
    <row r="35" spans="1:6" x14ac:dyDescent="0.25">
      <c r="A35" s="6" t="s">
        <v>65</v>
      </c>
      <c r="B35" s="6" t="s">
        <v>30</v>
      </c>
    </row>
    <row r="36" spans="1:6" x14ac:dyDescent="0.25">
      <c r="A36" s="6" t="s">
        <v>31</v>
      </c>
      <c r="B36" s="6" t="s">
        <v>32</v>
      </c>
    </row>
    <row r="37" spans="1:6" x14ac:dyDescent="0.25">
      <c r="A37" s="6" t="s">
        <v>33</v>
      </c>
      <c r="B37" s="6" t="s">
        <v>34</v>
      </c>
    </row>
    <row r="38" spans="1:6" x14ac:dyDescent="0.25">
      <c r="A38" s="6" t="s">
        <v>35</v>
      </c>
      <c r="B38" s="6" t="s">
        <v>36</v>
      </c>
    </row>
    <row r="39" spans="1:6" x14ac:dyDescent="0.25">
      <c r="A39" s="6" t="s">
        <v>37</v>
      </c>
      <c r="B39" s="6" t="s">
        <v>38</v>
      </c>
    </row>
    <row r="40" spans="1:6" x14ac:dyDescent="0.25">
      <c r="A40" s="6" t="s">
        <v>39</v>
      </c>
      <c r="B40" s="6" t="s">
        <v>40</v>
      </c>
    </row>
    <row r="41" spans="1:6" x14ac:dyDescent="0.25">
      <c r="A41" s="6" t="s">
        <v>41</v>
      </c>
      <c r="B41" s="6" t="s">
        <v>42</v>
      </c>
    </row>
    <row r="42" spans="1:6" x14ac:dyDescent="0.25">
      <c r="A42" s="6" t="s">
        <v>43</v>
      </c>
      <c r="B42" s="6" t="s">
        <v>44</v>
      </c>
    </row>
    <row r="43" spans="1:6" x14ac:dyDescent="0.25">
      <c r="A43" s="6" t="s">
        <v>45</v>
      </c>
      <c r="B43" s="6" t="s">
        <v>46</v>
      </c>
    </row>
    <row r="44" spans="1:6" x14ac:dyDescent="0.25">
      <c r="A44" s="6" t="s">
        <v>47</v>
      </c>
      <c r="B44" s="6" t="s">
        <v>48</v>
      </c>
    </row>
    <row r="45" spans="1:6" x14ac:dyDescent="0.25">
      <c r="A45" s="6" t="s">
        <v>49</v>
      </c>
      <c r="B45" s="6" t="s">
        <v>50</v>
      </c>
    </row>
    <row r="46" spans="1:6" x14ac:dyDescent="0.25">
      <c r="A46" s="6" t="s">
        <v>51</v>
      </c>
      <c r="B46" s="6" t="s">
        <v>52</v>
      </c>
    </row>
    <row r="49" spans="1:6" x14ac:dyDescent="0.25">
      <c r="A49" s="1" t="s">
        <v>53</v>
      </c>
    </row>
    <row r="50" spans="1:6" x14ac:dyDescent="0.25">
      <c r="A50" s="1" t="s">
        <v>54</v>
      </c>
      <c r="B50" s="1" t="str">
        <f>VLOOKUP("Faizan Maraj",A35:B47,2,TRUE())</f>
        <v>9876500001</v>
      </c>
    </row>
    <row r="52" spans="1:6" ht="27.75" customHeight="1" x14ac:dyDescent="0.25">
      <c r="A52" s="2" t="s">
        <v>55</v>
      </c>
      <c r="B52" s="2"/>
      <c r="C52" s="2"/>
      <c r="D52" s="2"/>
    </row>
    <row r="55" spans="1:6" x14ac:dyDescent="0.25">
      <c r="A55" s="10" t="s">
        <v>56</v>
      </c>
      <c r="B55" s="10"/>
      <c r="C55" s="10"/>
      <c r="D55" s="10"/>
      <c r="E55" s="10"/>
      <c r="F55" s="10"/>
    </row>
    <row r="56" spans="1:6" x14ac:dyDescent="0.25">
      <c r="A56" s="11"/>
      <c r="B56" s="11"/>
      <c r="C56" s="11"/>
      <c r="D56" s="11"/>
      <c r="E56" s="11"/>
      <c r="F56" s="11"/>
    </row>
    <row r="57" spans="1:6" x14ac:dyDescent="0.25">
      <c r="A57" s="7" t="s">
        <v>57</v>
      </c>
      <c r="B57" s="7" t="s">
        <v>2</v>
      </c>
      <c r="C57" s="7" t="s">
        <v>3</v>
      </c>
    </row>
    <row r="58" spans="1:6" x14ac:dyDescent="0.25">
      <c r="A58" s="6" t="s">
        <v>58</v>
      </c>
      <c r="B58" s="6" t="s">
        <v>4</v>
      </c>
      <c r="C58" s="6">
        <v>1499</v>
      </c>
    </row>
    <row r="59" spans="1:6" x14ac:dyDescent="0.25">
      <c r="A59" s="6" t="s">
        <v>59</v>
      </c>
      <c r="B59" s="6" t="s">
        <v>5</v>
      </c>
      <c r="C59" s="6">
        <v>2999</v>
      </c>
    </row>
    <row r="60" spans="1:6" x14ac:dyDescent="0.25">
      <c r="A60" s="6" t="s">
        <v>60</v>
      </c>
      <c r="B60" s="6" t="s">
        <v>6</v>
      </c>
      <c r="C60" s="6">
        <v>899</v>
      </c>
    </row>
    <row r="61" spans="1:6" ht="27.75" customHeight="1" x14ac:dyDescent="0.25">
      <c r="A61" s="2" t="s">
        <v>61</v>
      </c>
      <c r="B61" s="2"/>
      <c r="C61" s="2"/>
      <c r="D61" s="2"/>
    </row>
  </sheetData>
  <mergeCells count="7">
    <mergeCell ref="A61:D61"/>
    <mergeCell ref="A1:F1"/>
    <mergeCell ref="A3:F3"/>
    <mergeCell ref="A22:F22"/>
    <mergeCell ref="A32:F32"/>
    <mergeCell ref="A52:D52"/>
    <mergeCell ref="A55:F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2026-07-21T09:07:13Z</dcterms:created>
  <dcterms:modified xsi:type="dcterms:W3CDTF">2026-07-21T09:14:34Z</dcterms:modified>
</cp:coreProperties>
</file>