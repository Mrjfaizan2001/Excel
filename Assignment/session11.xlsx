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E9A716CE-E68C-46F7-970C-54E536B8A23A}" xr6:coauthVersionLast="47" xr6:coauthVersionMax="47" xr10:uidLastSave="{00000000-0000-0000-0000-000000000000}"/>
  <bookViews>
    <workbookView xWindow="-120" yWindow="-120" windowWidth="20730" windowHeight="11160" xr2:uid="{22C834C2-0FE9-4E44-9B94-F3A50A5F3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3" i="1" l="1"/>
  <c r="B33" i="1"/>
  <c r="B23" i="1"/>
  <c r="B13" i="1"/>
</calcChain>
</file>

<file path=xl/sharedStrings.xml><?xml version="1.0" encoding="utf-8"?>
<sst xmlns="http://schemas.openxmlformats.org/spreadsheetml/2006/main" count="38" uniqueCount="37">
  <si>
    <t>Session 11 - Advanced Lookup: INDEX-MATCH (two-way lookup)</t>
  </si>
  <si>
    <t>Task 1: IPL score by Team (rows) and Match Date (columns)</t>
  </si>
  <si>
    <t>Team</t>
  </si>
  <si>
    <t>Gujarat Titans</t>
  </si>
  <si>
    <t>Mumbai Indians</t>
  </si>
  <si>
    <t>Chennai Super Kings</t>
  </si>
  <si>
    <t>Kolkata Knight Riders</t>
  </si>
  <si>
    <t>Team:</t>
  </si>
  <si>
    <t>Match Date:</t>
  </si>
  <si>
    <t>Score (INDEX+MATCH+MATCH):</t>
  </si>
  <si>
    <t>Task 2: Flipkart price by Product (rows) x City (columns)</t>
  </si>
  <si>
    <t>Product</t>
  </si>
  <si>
    <t>Ahmedabad</t>
  </si>
  <si>
    <t>Mumbai</t>
  </si>
  <si>
    <t>Delhi</t>
  </si>
  <si>
    <t>iPhone 15</t>
  </si>
  <si>
    <t>Galaxy S24</t>
  </si>
  <si>
    <t>Redmi Note 13</t>
  </si>
  <si>
    <t>Price of iPhone 15 in Ahmedabad:</t>
  </si>
  <si>
    <t>Task 3: Spotify play count - Song (rows) x Month (columns)</t>
  </si>
  <si>
    <t>Song</t>
  </si>
  <si>
    <t>January</t>
  </si>
  <si>
    <t>February</t>
  </si>
  <si>
    <t>March</t>
  </si>
  <si>
    <t>Kesariya</t>
  </si>
  <si>
    <t>Apna Bana Le</t>
  </si>
  <si>
    <t>Tum Hi Ho</t>
  </si>
  <si>
    <t>Kesariya plays in March:</t>
  </si>
  <si>
    <t>Task 4: Zomato sales - Restaurant (rows) x Weekday (columns), robust to column reorder</t>
  </si>
  <si>
    <t>Restaurant</t>
  </si>
  <si>
    <t>Monday</t>
  </si>
  <si>
    <t>Friday</t>
  </si>
  <si>
    <t>Sunday</t>
  </si>
  <si>
    <t>Burger Hub</t>
  </si>
  <si>
    <t>Pizza Point</t>
  </si>
  <si>
    <t>Wrap Zone</t>
  </si>
  <si>
    <t>Burger Hub sales on Friday (INDEX/MATCH - unaffected by column order):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</si>
</sst>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"/>
    <numFmt numFmtId="165" formatCode="dd\-mmm\-yyyy"/>
  </numFmts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9"/>
      <color rgb="FF666666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5" fontId="0" fillId="0" borderId="0" xfId="0" applyNumberForma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/>
    <xf numFmtId="0" fontId="1" fillId="0" borderId="1" xfId="0" applyFont="1" applyBorder="1"/>
    <xf numFmtId="0" fontId="4" fillId="0" borderId="1" xfId="0" applyFont="1" applyFill="1" applyBorder="1"/>
    <xf numFmtId="164" fontId="4" fillId="0" borderId="1" xfId="0" applyNumberFormat="1" applyFont="1" applyFill="1" applyBorder="1"/>
    <xf numFmtId="0" fontId="6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EB0A-335B-41C2-AD25-50A37F76DC7A}">
  <dimension ref="A1:F45"/>
  <sheetViews>
    <sheetView tabSelected="1" workbookViewId="0">
      <selection activeCell="G3" sqref="G3"/>
    </sheetView>
  </sheetViews>
  <sheetFormatPr defaultColWidth="8.5703125" defaultRowHeight="15" x14ac:dyDescent="0.25"/>
  <cols>
    <col min="1" max="1" width="22" customWidth="1"/>
    <col min="2" max="4" width="14" customWidth="1"/>
  </cols>
  <sheetData>
    <row r="1" spans="1:6" x14ac:dyDescent="0.25">
      <c r="A1" s="4" t="s">
        <v>0</v>
      </c>
      <c r="B1" s="4"/>
      <c r="C1" s="4"/>
      <c r="D1" s="4"/>
      <c r="E1" s="4"/>
      <c r="F1" s="4"/>
    </row>
    <row r="3" spans="1:6" x14ac:dyDescent="0.25">
      <c r="A3" s="6" t="s">
        <v>1</v>
      </c>
      <c r="B3" s="6"/>
      <c r="C3" s="6"/>
      <c r="D3" s="6"/>
      <c r="E3" s="6"/>
      <c r="F3" s="6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9" t="s">
        <v>2</v>
      </c>
      <c r="B5" s="10">
        <v>45392</v>
      </c>
      <c r="C5" s="10">
        <v>45397</v>
      </c>
      <c r="D5" s="10">
        <v>45402</v>
      </c>
    </row>
    <row r="6" spans="1:6" x14ac:dyDescent="0.25">
      <c r="A6" s="8" t="s">
        <v>3</v>
      </c>
      <c r="B6" s="8">
        <v>176</v>
      </c>
      <c r="C6" s="8">
        <v>190</v>
      </c>
      <c r="D6" s="8">
        <v>168</v>
      </c>
    </row>
    <row r="7" spans="1:6" x14ac:dyDescent="0.25">
      <c r="A7" s="8" t="s">
        <v>4</v>
      </c>
      <c r="B7" s="8">
        <v>205</v>
      </c>
      <c r="C7" s="8">
        <v>182</v>
      </c>
      <c r="D7" s="8">
        <v>199</v>
      </c>
    </row>
    <row r="8" spans="1:6" x14ac:dyDescent="0.25">
      <c r="A8" s="8" t="s">
        <v>5</v>
      </c>
      <c r="B8" s="8">
        <v>164</v>
      </c>
      <c r="C8" s="8">
        <v>171</v>
      </c>
      <c r="D8" s="8">
        <v>188</v>
      </c>
    </row>
    <row r="9" spans="1:6" x14ac:dyDescent="0.25">
      <c r="A9" s="8" t="s">
        <v>6</v>
      </c>
      <c r="B9" s="8">
        <v>150</v>
      </c>
      <c r="C9" s="8">
        <v>193</v>
      </c>
      <c r="D9" s="8">
        <v>177</v>
      </c>
    </row>
    <row r="11" spans="1:6" x14ac:dyDescent="0.25">
      <c r="A11" s="1" t="s">
        <v>7</v>
      </c>
      <c r="B11" s="1" t="s">
        <v>3</v>
      </c>
    </row>
    <row r="12" spans="1:6" x14ac:dyDescent="0.25">
      <c r="A12" s="1" t="s">
        <v>8</v>
      </c>
      <c r="B12" s="2">
        <v>45397</v>
      </c>
    </row>
    <row r="13" spans="1:6" x14ac:dyDescent="0.25">
      <c r="A13" s="1" t="s">
        <v>9</v>
      </c>
      <c r="B13" s="1">
        <f>INDEX(B6:D9,MATCH(B11,A6:A9,0),MATCH(B12,B5:D5,0))</f>
        <v>190</v>
      </c>
    </row>
    <row r="16" spans="1:6" x14ac:dyDescent="0.25">
      <c r="A16" s="11" t="s">
        <v>10</v>
      </c>
      <c r="B16" s="11"/>
      <c r="C16" s="11"/>
      <c r="D16" s="11"/>
      <c r="E16" s="11"/>
      <c r="F16" s="11"/>
    </row>
    <row r="17" spans="1:6" x14ac:dyDescent="0.25">
      <c r="A17" s="12"/>
      <c r="B17" s="12"/>
      <c r="C17" s="12"/>
      <c r="D17" s="12"/>
      <c r="E17" s="12"/>
      <c r="F17" s="12"/>
    </row>
    <row r="18" spans="1:6" x14ac:dyDescent="0.25">
      <c r="A18" s="9" t="s">
        <v>11</v>
      </c>
      <c r="B18" s="9" t="s">
        <v>12</v>
      </c>
      <c r="C18" s="9" t="s">
        <v>13</v>
      </c>
      <c r="D18" s="9" t="s">
        <v>14</v>
      </c>
    </row>
    <row r="19" spans="1:6" x14ac:dyDescent="0.25">
      <c r="A19" s="8" t="s">
        <v>15</v>
      </c>
      <c r="B19" s="8">
        <v>74999</v>
      </c>
      <c r="C19" s="8">
        <v>75499</v>
      </c>
      <c r="D19" s="8">
        <v>74799</v>
      </c>
    </row>
    <row r="20" spans="1:6" x14ac:dyDescent="0.25">
      <c r="A20" s="8" t="s">
        <v>16</v>
      </c>
      <c r="B20" s="8">
        <v>69999</v>
      </c>
      <c r="C20" s="8">
        <v>70499</v>
      </c>
      <c r="D20" s="8">
        <v>69799</v>
      </c>
    </row>
    <row r="21" spans="1:6" x14ac:dyDescent="0.25">
      <c r="A21" s="8" t="s">
        <v>17</v>
      </c>
      <c r="B21" s="8">
        <v>15999</v>
      </c>
      <c r="C21" s="8">
        <v>16199</v>
      </c>
      <c r="D21" s="8">
        <v>15899</v>
      </c>
    </row>
    <row r="23" spans="1:6" x14ac:dyDescent="0.25">
      <c r="A23" s="1" t="s">
        <v>18</v>
      </c>
      <c r="B23" s="1">
        <f>INDEX(B19:D21,MATCH("iPhone 15",A19:A21,0),MATCH("Ahmedabad",B18:D18,0))</f>
        <v>74999</v>
      </c>
    </row>
    <row r="26" spans="1:6" x14ac:dyDescent="0.25">
      <c r="A26" s="5" t="s">
        <v>19</v>
      </c>
      <c r="B26" s="5"/>
      <c r="C26" s="5"/>
      <c r="D26" s="5"/>
      <c r="E26" s="5"/>
      <c r="F26" s="5"/>
    </row>
    <row r="27" spans="1:6" x14ac:dyDescent="0.25">
      <c r="A27" s="13"/>
      <c r="B27" s="13"/>
      <c r="C27" s="13"/>
      <c r="D27" s="13"/>
      <c r="E27" s="13"/>
      <c r="F27" s="13"/>
    </row>
    <row r="28" spans="1:6" x14ac:dyDescent="0.25">
      <c r="A28" s="9" t="s">
        <v>20</v>
      </c>
      <c r="B28" s="9" t="s">
        <v>21</v>
      </c>
      <c r="C28" s="9" t="s">
        <v>22</v>
      </c>
      <c r="D28" s="9" t="s">
        <v>23</v>
      </c>
    </row>
    <row r="29" spans="1:6" x14ac:dyDescent="0.25">
      <c r="A29" s="8" t="s">
        <v>24</v>
      </c>
      <c r="B29" s="8">
        <v>120</v>
      </c>
      <c r="C29" s="8">
        <v>98</v>
      </c>
      <c r="D29" s="8">
        <v>145</v>
      </c>
    </row>
    <row r="30" spans="1:6" x14ac:dyDescent="0.25">
      <c r="A30" s="8" t="s">
        <v>25</v>
      </c>
      <c r="B30" s="8">
        <v>80</v>
      </c>
      <c r="C30" s="8">
        <v>110</v>
      </c>
      <c r="D30" s="8">
        <v>90</v>
      </c>
    </row>
    <row r="31" spans="1:6" x14ac:dyDescent="0.25">
      <c r="A31" s="8" t="s">
        <v>26</v>
      </c>
      <c r="B31" s="8">
        <v>200</v>
      </c>
      <c r="C31" s="8">
        <v>180</v>
      </c>
      <c r="D31" s="8">
        <v>210</v>
      </c>
    </row>
    <row r="33" spans="1:6" x14ac:dyDescent="0.25">
      <c r="A33" s="1" t="s">
        <v>27</v>
      </c>
      <c r="B33" s="1">
        <f>INDEX(B29:D31,MATCH("Kesariya",A29:A31,0),MATCH("March",B28:D28,0))</f>
        <v>145</v>
      </c>
    </row>
    <row r="36" spans="1:6" x14ac:dyDescent="0.25">
      <c r="A36" s="5" t="s">
        <v>28</v>
      </c>
      <c r="B36" s="5"/>
      <c r="C36" s="5"/>
      <c r="D36" s="5"/>
      <c r="E36" s="5"/>
      <c r="F36" s="5"/>
    </row>
    <row r="37" spans="1:6" x14ac:dyDescent="0.25">
      <c r="A37" s="13"/>
      <c r="B37" s="13"/>
      <c r="C37" s="13"/>
      <c r="D37" s="13"/>
      <c r="E37" s="13"/>
      <c r="F37" s="13"/>
    </row>
    <row r="38" spans="1:6" x14ac:dyDescent="0.25">
      <c r="A38" s="9" t="s">
        <v>29</v>
      </c>
      <c r="B38" s="9" t="s">
        <v>30</v>
      </c>
      <c r="C38" s="9" t="s">
        <v>31</v>
      </c>
      <c r="D38" s="9" t="s">
        <v>32</v>
      </c>
    </row>
    <row r="39" spans="1:6" x14ac:dyDescent="0.25">
      <c r="A39" s="8" t="s">
        <v>33</v>
      </c>
      <c r="B39" s="8">
        <v>4200</v>
      </c>
      <c r="C39" s="8">
        <v>6100</v>
      </c>
      <c r="D39" s="8">
        <v>5800</v>
      </c>
    </row>
    <row r="40" spans="1:6" x14ac:dyDescent="0.25">
      <c r="A40" s="8" t="s">
        <v>34</v>
      </c>
      <c r="B40" s="8">
        <v>3900</v>
      </c>
      <c r="C40" s="8">
        <v>5200</v>
      </c>
      <c r="D40" s="8">
        <v>6300</v>
      </c>
    </row>
    <row r="41" spans="1:6" x14ac:dyDescent="0.25">
      <c r="A41" s="8" t="s">
        <v>35</v>
      </c>
      <c r="B41" s="8">
        <v>2800</v>
      </c>
      <c r="C41" s="8">
        <v>4700</v>
      </c>
      <c r="D41" s="8">
        <v>5100</v>
      </c>
    </row>
    <row r="43" spans="1:6" x14ac:dyDescent="0.25">
      <c r="A43" s="1" t="s">
        <v>36</v>
      </c>
      <c r="B43" s="1">
        <f>INDEX(B39:D41,MATCH("Burger Hub",A39:A41,0),MATCH("Friday",B38:D38,0))</f>
        <v>6100</v>
      </c>
    </row>
    <row r="45" spans="1:6" ht="27.75" customHeight="1" x14ac:dyDescent="0.25">
      <c r="A45" s="3"/>
      <c r="B45" s="3"/>
      <c r="C45" s="3"/>
      <c r="D45" s="3"/>
      <c r="E45" s="3"/>
    </row>
  </sheetData>
  <mergeCells count="6">
    <mergeCell ref="A1:F1"/>
    <mergeCell ref="A3:F3"/>
    <mergeCell ref="A16:F16"/>
    <mergeCell ref="A26:F26"/>
    <mergeCell ref="A36:F36"/>
    <mergeCell ref="A45:E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2026-07-21T09:22:19Z</dcterms:created>
  <dcterms:modified xsi:type="dcterms:W3CDTF">2026-07-21T09:24:36Z</dcterms:modified>
</cp:coreProperties>
</file>